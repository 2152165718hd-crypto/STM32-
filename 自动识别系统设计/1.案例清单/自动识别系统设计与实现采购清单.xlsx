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\自动识别系统设计\1.清单\"/>
    </mc:Choice>
  </mc:AlternateContent>
  <xr:revisionPtr revIDLastSave="0" documentId="13_ncr:1_{FF8F86D2-0D2E-41D2-95FF-13ECA49B9E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N13" i="1"/>
  <c r="N12" i="1"/>
  <c r="O7" i="1"/>
  <c r="O8" i="1"/>
  <c r="O9" i="1"/>
  <c r="O10" i="1"/>
  <c r="O11" i="1"/>
  <c r="O12" i="1"/>
  <c r="O6" i="1"/>
  <c r="O5" i="1"/>
  <c r="N10" i="1"/>
  <c r="N4" i="1"/>
  <c r="N5" i="1"/>
  <c r="N6" i="1"/>
  <c r="N7" i="1"/>
  <c r="N8" i="1"/>
  <c r="N9" i="1"/>
  <c r="N11" i="1"/>
  <c r="N3" i="1"/>
  <c r="B15" i="1" s="1"/>
</calcChain>
</file>

<file path=xl/sharedStrings.xml><?xml version="1.0" encoding="utf-8"?>
<sst xmlns="http://schemas.openxmlformats.org/spreadsheetml/2006/main" count="36" uniqueCount="35">
  <si>
    <t>型号</t>
  </si>
  <si>
    <t>链接</t>
  </si>
  <si>
    <t>单价</t>
  </si>
  <si>
    <t>数量</t>
  </si>
  <si>
    <t>单价总价</t>
  </si>
  <si>
    <t>备注</t>
  </si>
  <si>
    <t>总计</t>
  </si>
  <si>
    <t>STM32F103C8T6开发板</t>
  </si>
  <si>
    <t>0.96寸OLED</t>
  </si>
  <si>
    <t>ESP8266-01S</t>
  </si>
  <si>
    <t>继电器模块</t>
  </si>
  <si>
    <t>排母</t>
  </si>
  <si>
    <t>CMSIS DAP/DAPLink仿真器</t>
  </si>
  <si>
    <t>基于STM32单片机自动识别控制系统设计系统设计与实现采购清单</t>
  </si>
  <si>
    <t>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</t>
  </si>
  <si>
    <t>https://item.taobao.com/item.htm?from=cart&amp;id=40511001950&amp;mi_id=0000lqT9Fii61Qo6eEe9XBgf_PRCtxXKmLYiMBX17OADeJk&amp;skuId=5334311157373&amp;spm=a1z0d.6639537%2F202410.item.d40511001950.3b787484H8Zzz5&amp;upStreamPrice=740</t>
  </si>
  <si>
    <t>https://item.taobao.com/item.htm?from=cart&amp;id=549692985984&amp;mi_id=0000W4vHisB7p-7F69ZiUxRHIBau3MrU2SB1D8j_mxFtWOg&amp;skuId=5006943327909&amp;spm=a1z0d.6639537%2F202410.item.d549692985984.3b787484UpXFAU&amp;upStreamPrice=346</t>
  </si>
  <si>
    <t>https://item.taobao.com/item.htm?from=cart&amp;id=562145367495&amp;mi_id=0000w9WWqige3zDtQ8sZci3pfSrLA-g_MWoEEzYr1RURzjo&amp;skuId=4843968313715&amp;spm=a1z0d.6639537%2F202410.item.d562145367495.3b787484UpXFAU&amp;upStreamPrice=1089</t>
  </si>
  <si>
    <t>蜂鸣器</t>
  </si>
  <si>
    <t>按键</t>
  </si>
  <si>
    <t>锡丝</t>
  </si>
  <si>
    <t>https://item.taobao.com/item.htm?from=cart&amp;id=522572589576&amp;mi_id=00002-C7pr5Tj0gskJ_a7lmk-4hrl1pnxbulsdBpVXrj6M0&amp;spm=a1z0d.6639537%2F202410.item.d522572589576.23d77484QG8HZB&amp;upStreamPrice=176</t>
  </si>
  <si>
    <t>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</t>
  </si>
  <si>
    <t>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</t>
  </si>
  <si>
    <t>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</t>
  </si>
  <si>
    <t>K210人脸识别</t>
  </si>
  <si>
    <t>https://item.taobao.com/item.htm?from=cart&amp;id=742947223898&amp;mi_id=0000jhf89CWL1uEfASanBKm_mHJqmHn3n5nV0WU9KRwcfro&amp;skuId=5622815094944&amp;spm=a1z0d.6639537%2F202410.item.d742947223898.23d77484QG8HZB&amp;upStreamPrice=18000</t>
  </si>
  <si>
    <t>K210人脸识别模块</t>
  </si>
  <si>
    <t>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</t>
  </si>
  <si>
    <t>杜邦线</t>
  </si>
  <si>
    <t>https://item.taobao.com/item.htm?abbucket=10&amp;id=558182761958&amp;mi_id=0000DuaBjfY6wlLw-MC6lU81q8Ilz1mHHD3F2a2DTMmdWA0&amp;ns=1&amp;skuId=4867289172029&amp;spm=a21n57.1.hoverItem.2&amp;utparam=%7B%22aplus_abtest%22%3A%222d7cb409e9445d8cf01845fff9dc42f6%22%7D&amp;xxc=taobaoSearch</t>
  </si>
  <si>
    <t>杜邦线公对母+杜邦线母对公</t>
  </si>
  <si>
    <t>洞洞板</t>
  </si>
  <si>
    <t>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</t>
  </si>
  <si>
    <t>双面喷锡板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</si>
</sst>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item.taobao.com/item.htm?from=cart&amp;id=40511001950&amp;mi_id=0000lqT9Fii61Qo6eEe9XBgf_PRCtxXKmLYiMBX17OADeJk&amp;skuId=5334311157373&amp;spm=a1z0d.6639537%2F202410.item.d40511001950.3b787484H8Zzz5&amp;upStreamPrice=740" TargetMode="External"/><Relationship Id="rId7" Type="http://schemas.openxmlformats.org/officeDocument/2006/relationships/hyperlink" Target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TargetMode="External"/><Relationship Id="rId12" Type="http://schemas.openxmlformats.org/officeDocument/2006/relationships/hyperlink" Target="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" TargetMode="External"/><Relationship Id="rId2" Type="http://schemas.openxmlformats.org/officeDocument/2006/relationships/hyperlink" Target="https://item.taobao.com/item.htm?from=cart&amp;id=742947223898&amp;mi_id=0000jhf89CWL1uEfASanBKm_mHJqmHn3n5nV0WU9KRwcfro&amp;skuId=5622815094944&amp;spm=a1z0d.6639537%2F202410.item.d742947223898.23d77484QG8HZB&amp;upStreamPrice=18000" TargetMode="External"/><Relationship Id="rId1" Type="http://schemas.openxmlformats.org/officeDocument/2006/relationships/hyperlink" Target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TargetMode="External"/><Relationship Id="rId6" Type="http://schemas.openxmlformats.org/officeDocument/2006/relationships/hyperlink" Target="https://item.taobao.com/item.htm?from=cart&amp;id=522572589576&amp;mi_id=00002-C7pr5Tj0gskJ_a7lmk-4hrl1pnxbulsdBpVXrj6M0&amp;spm=a1z0d.6639537%2F202410.item.d522572589576.23d77484QG8HZB&amp;upStreamPrice=176" TargetMode="External"/><Relationship Id="rId11" Type="http://schemas.openxmlformats.org/officeDocument/2006/relationships/hyperlink" Target="https://item.taobao.com/item.htm?abbucket=10&amp;id=558182761958&amp;mi_id=0000DuaBjfY6wlLw-MC6lU81q8Ilz1mHHD3F2a2DTMmdWA0&amp;ns=1&amp;skuId=4867289172029&amp;spm=a21n57.1.hoverItem.2&amp;utparam=%7B%22aplus_abtest%22%3A%222d7cb409e9445d8cf01845fff9dc42f6%22%7D&amp;xxc=taobaoSearch" TargetMode="External"/><Relationship Id="rId5" Type="http://schemas.openxmlformats.org/officeDocument/2006/relationships/hyperlink" Target="https://item.taobao.com/item.htm?from=cart&amp;id=562145367495&amp;mi_id=0000w9WWqige3zDtQ8sZci3pfSrLA-g_MWoEEzYr1RURzjo&amp;skuId=4843968313715&amp;spm=a1z0d.6639537%2F202410.item.d562145367495.3b787484UpXFAU&amp;upStreamPrice=1089" TargetMode="External"/><Relationship Id="rId10" Type="http://schemas.openxmlformats.org/officeDocument/2006/relationships/hyperlink" Target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TargetMode="External"/><Relationship Id="rId4" Type="http://schemas.openxmlformats.org/officeDocument/2006/relationships/hyperlink" Target="https://item.taobao.com/item.htm?from=cart&amp;id=549692985984&amp;mi_id=0000W4vHisB7p-7F69ZiUxRHIBau3MrU2SB1D8j_mxFtWOg&amp;skuId=5006943327909&amp;spm=a1z0d.6639537%2F202410.item.d549692985984.3b787484UpXFAU&amp;upStreamPrice=346" TargetMode="External"/><Relationship Id="rId9" Type="http://schemas.openxmlformats.org/officeDocument/2006/relationships/hyperlink" Target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zoomScale="130" zoomScaleNormal="130" workbookViewId="0">
      <selection activeCell="B15" sqref="B15:C15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0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27.75" customHeight="1">
      <c r="A2" s="12" t="s">
        <v>0</v>
      </c>
      <c r="B2" s="12"/>
      <c r="C2" s="12"/>
      <c r="D2" s="12" t="s">
        <v>1</v>
      </c>
      <c r="E2" s="12"/>
      <c r="F2" s="12"/>
      <c r="G2" s="12"/>
      <c r="H2" s="12"/>
      <c r="I2" s="12"/>
      <c r="J2" s="12"/>
      <c r="K2" s="12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3" t="s">
        <v>7</v>
      </c>
      <c r="B3" s="13"/>
      <c r="C3" s="13"/>
      <c r="D3" s="14" t="s">
        <v>14</v>
      </c>
      <c r="E3" s="12"/>
      <c r="F3" s="12"/>
      <c r="G3" s="12"/>
      <c r="H3" s="12"/>
      <c r="I3" s="12"/>
      <c r="J3" s="12"/>
      <c r="K3" s="12"/>
      <c r="L3" s="3">
        <v>12.1</v>
      </c>
      <c r="M3" s="3">
        <v>1</v>
      </c>
      <c r="N3" s="3">
        <f>L3</f>
        <v>12.1</v>
      </c>
      <c r="O3" s="3" t="s">
        <v>7</v>
      </c>
      <c r="P3" s="3"/>
      <c r="Q3" s="3"/>
    </row>
    <row r="4" spans="1:17" ht="26.25" customHeight="1">
      <c r="A4" s="13" t="s">
        <v>25</v>
      </c>
      <c r="B4" s="13"/>
      <c r="C4" s="13"/>
      <c r="D4" s="14" t="s">
        <v>26</v>
      </c>
      <c r="E4" s="14"/>
      <c r="F4" s="14"/>
      <c r="G4" s="14"/>
      <c r="H4" s="14"/>
      <c r="I4" s="14"/>
      <c r="J4" s="14"/>
      <c r="K4" s="14"/>
      <c r="L4" s="3">
        <v>175</v>
      </c>
      <c r="M4" s="3">
        <v>1</v>
      </c>
      <c r="N4" s="3">
        <f t="shared" ref="N4:N11" si="0">L4</f>
        <v>175</v>
      </c>
      <c r="O4" s="3" t="s">
        <v>27</v>
      </c>
      <c r="P4" s="3"/>
      <c r="Q4" s="3"/>
    </row>
    <row r="5" spans="1:17" ht="24.75" customHeight="1">
      <c r="A5" s="15" t="s">
        <v>8</v>
      </c>
      <c r="B5" s="7"/>
      <c r="C5" s="7"/>
      <c r="D5" s="8" t="s">
        <v>17</v>
      </c>
      <c r="E5" s="9"/>
      <c r="F5" s="9"/>
      <c r="G5" s="9"/>
      <c r="H5" s="9"/>
      <c r="I5" s="9"/>
      <c r="J5" s="9"/>
      <c r="K5" s="9"/>
      <c r="L5" s="3">
        <v>12.35</v>
      </c>
      <c r="M5" s="3">
        <v>1</v>
      </c>
      <c r="N5" s="3">
        <f t="shared" si="0"/>
        <v>12.35</v>
      </c>
      <c r="O5" s="3" t="str">
        <f>A5</f>
        <v>0.96寸OLED</v>
      </c>
      <c r="P5" s="3"/>
      <c r="Q5" s="3"/>
    </row>
    <row r="6" spans="1:17" ht="24.75" customHeight="1">
      <c r="A6" s="7" t="s">
        <v>9</v>
      </c>
      <c r="B6" s="7"/>
      <c r="C6" s="7"/>
      <c r="D6" s="8" t="s">
        <v>15</v>
      </c>
      <c r="E6" s="9"/>
      <c r="F6" s="9"/>
      <c r="G6" s="9"/>
      <c r="H6" s="9"/>
      <c r="I6" s="9"/>
      <c r="J6" s="9"/>
      <c r="K6" s="9"/>
      <c r="L6" s="3">
        <v>11.1</v>
      </c>
      <c r="M6" s="3">
        <v>1</v>
      </c>
      <c r="N6" s="3">
        <f t="shared" si="0"/>
        <v>11.1</v>
      </c>
      <c r="O6" s="3" t="str">
        <f>A6</f>
        <v>ESP8266-01S</v>
      </c>
      <c r="P6" s="3"/>
      <c r="Q6" s="3"/>
    </row>
    <row r="7" spans="1:17" ht="24.75" customHeight="1">
      <c r="A7" s="7" t="s">
        <v>10</v>
      </c>
      <c r="B7" s="7"/>
      <c r="C7" s="7"/>
      <c r="D7" s="8" t="s">
        <v>16</v>
      </c>
      <c r="E7" s="8"/>
      <c r="F7" s="8"/>
      <c r="G7" s="8"/>
      <c r="H7" s="8"/>
      <c r="I7" s="8"/>
      <c r="J7" s="8"/>
      <c r="K7" s="8"/>
      <c r="L7" s="3">
        <v>4.96</v>
      </c>
      <c r="M7" s="3">
        <v>1</v>
      </c>
      <c r="N7" s="3">
        <f t="shared" si="0"/>
        <v>4.96</v>
      </c>
      <c r="O7" s="3" t="str">
        <f t="shared" ref="O7:O12" si="1">A7</f>
        <v>继电器模块</v>
      </c>
      <c r="P7" s="3"/>
      <c r="Q7" s="3"/>
    </row>
    <row r="8" spans="1:17" ht="24.75" customHeight="1">
      <c r="A8" s="7" t="s">
        <v>18</v>
      </c>
      <c r="B8" s="7"/>
      <c r="C8" s="7"/>
      <c r="D8" s="8" t="s">
        <v>21</v>
      </c>
      <c r="E8" s="8"/>
      <c r="F8" s="8"/>
      <c r="G8" s="8"/>
      <c r="H8" s="8"/>
      <c r="I8" s="8"/>
      <c r="J8" s="8"/>
      <c r="K8" s="8"/>
      <c r="L8" s="3">
        <v>3.26</v>
      </c>
      <c r="M8" s="3">
        <v>1</v>
      </c>
      <c r="N8" s="3">
        <f t="shared" si="0"/>
        <v>3.26</v>
      </c>
      <c r="O8" s="3" t="str">
        <f t="shared" si="1"/>
        <v>蜂鸣器</v>
      </c>
      <c r="P8" s="3"/>
      <c r="Q8" s="3"/>
    </row>
    <row r="9" spans="1:17" ht="24.75" customHeight="1">
      <c r="A9" s="7" t="s">
        <v>19</v>
      </c>
      <c r="B9" s="7"/>
      <c r="C9" s="7"/>
      <c r="D9" s="8" t="s">
        <v>22</v>
      </c>
      <c r="E9" s="9"/>
      <c r="F9" s="9"/>
      <c r="G9" s="9"/>
      <c r="H9" s="9"/>
      <c r="I9" s="9"/>
      <c r="J9" s="9"/>
      <c r="K9" s="9"/>
      <c r="L9" s="3">
        <v>3.57</v>
      </c>
      <c r="M9" s="3">
        <v>1</v>
      </c>
      <c r="N9" s="3">
        <f t="shared" si="0"/>
        <v>3.57</v>
      </c>
      <c r="O9" s="3" t="str">
        <f t="shared" si="1"/>
        <v>按键</v>
      </c>
      <c r="P9" s="3"/>
      <c r="Q9" s="3"/>
    </row>
    <row r="10" spans="1:17" ht="24.75" customHeight="1">
      <c r="A10" s="7" t="s">
        <v>20</v>
      </c>
      <c r="B10" s="7"/>
      <c r="C10" s="7"/>
      <c r="D10" s="8" t="s">
        <v>23</v>
      </c>
      <c r="E10" s="9"/>
      <c r="F10" s="9"/>
      <c r="G10" s="9"/>
      <c r="H10" s="9"/>
      <c r="I10" s="9"/>
      <c r="J10" s="9"/>
      <c r="K10" s="9"/>
      <c r="L10" s="3">
        <v>12.9</v>
      </c>
      <c r="M10" s="3">
        <v>1</v>
      </c>
      <c r="N10" s="3">
        <f>L10</f>
        <v>12.9</v>
      </c>
      <c r="O10" s="3" t="str">
        <f t="shared" si="1"/>
        <v>锡丝</v>
      </c>
      <c r="P10" s="3"/>
      <c r="Q10" s="3"/>
    </row>
    <row r="11" spans="1:17" ht="24.75" customHeight="1">
      <c r="A11" s="7" t="s">
        <v>11</v>
      </c>
      <c r="B11" s="7"/>
      <c r="C11" s="7"/>
      <c r="D11" s="8" t="s">
        <v>24</v>
      </c>
      <c r="E11" s="9"/>
      <c r="F11" s="9"/>
      <c r="G11" s="9"/>
      <c r="H11" s="9"/>
      <c r="I11" s="9"/>
      <c r="J11" s="9"/>
      <c r="K11" s="9"/>
      <c r="L11" s="3">
        <v>3</v>
      </c>
      <c r="M11" s="3">
        <v>1</v>
      </c>
      <c r="N11" s="3">
        <f t="shared" si="0"/>
        <v>3</v>
      </c>
      <c r="O11" s="3" t="str">
        <f t="shared" si="1"/>
        <v>排母</v>
      </c>
      <c r="P11" s="3"/>
      <c r="Q11" s="3"/>
    </row>
    <row r="12" spans="1:17" ht="24.75" customHeight="1">
      <c r="A12" s="7" t="s">
        <v>12</v>
      </c>
      <c r="B12" s="7"/>
      <c r="C12" s="7"/>
      <c r="D12" s="8" t="s">
        <v>28</v>
      </c>
      <c r="E12" s="8"/>
      <c r="F12" s="8"/>
      <c r="G12" s="8"/>
      <c r="H12" s="8"/>
      <c r="I12" s="8"/>
      <c r="J12" s="8"/>
      <c r="K12" s="8"/>
      <c r="L12" s="3">
        <v>12</v>
      </c>
      <c r="M12" s="3">
        <v>1</v>
      </c>
      <c r="N12" s="3">
        <f>L12</f>
        <v>12</v>
      </c>
      <c r="O12" s="3" t="str">
        <f t="shared" si="1"/>
        <v>CMSIS DAP/DAPLink仿真器</v>
      </c>
    </row>
    <row r="13" spans="1:17" ht="24.75" customHeight="1">
      <c r="A13" s="7" t="s">
        <v>29</v>
      </c>
      <c r="B13" s="7"/>
      <c r="C13" s="7"/>
      <c r="D13" s="8" t="s">
        <v>30</v>
      </c>
      <c r="E13" s="9"/>
      <c r="F13" s="9"/>
      <c r="G13" s="9"/>
      <c r="H13" s="9"/>
      <c r="I13" s="9"/>
      <c r="J13" s="9"/>
      <c r="K13" s="9"/>
      <c r="L13" s="3">
        <v>4.84</v>
      </c>
      <c r="M13" s="3">
        <v>2</v>
      </c>
      <c r="N13" s="3">
        <f>L13*M13</f>
        <v>9.68</v>
      </c>
      <c r="O13" s="3" t="s">
        <v>31</v>
      </c>
    </row>
    <row r="14" spans="1:17" ht="24.75" customHeight="1">
      <c r="A14" s="7" t="s">
        <v>32</v>
      </c>
      <c r="B14" s="7"/>
      <c r="C14" s="7"/>
      <c r="D14" s="8" t="s">
        <v>33</v>
      </c>
      <c r="E14" s="9"/>
      <c r="F14" s="9"/>
      <c r="G14" s="9"/>
      <c r="H14" s="9"/>
      <c r="I14" s="9"/>
      <c r="J14" s="9"/>
      <c r="K14" s="9"/>
      <c r="L14" s="3">
        <v>11.4</v>
      </c>
      <c r="M14" s="3">
        <v>1</v>
      </c>
      <c r="N14" s="3">
        <f>L14*M14</f>
        <v>11.4</v>
      </c>
      <c r="O14" s="3" t="s">
        <v>34</v>
      </c>
    </row>
    <row r="15" spans="1:17" ht="23.25" customHeight="1">
      <c r="A15" s="5" t="s">
        <v>6</v>
      </c>
      <c r="B15" s="6">
        <f>SUM(N3:N14)</f>
        <v>271.31999999999994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8" spans="8:8" ht="14.1" customHeight="1">
      <c r="H18" s="4"/>
    </row>
  </sheetData>
  <mergeCells count="28">
    <mergeCell ref="A4:C4"/>
    <mergeCell ref="D4:K4"/>
    <mergeCell ref="A10:C10"/>
    <mergeCell ref="D10:K10"/>
    <mergeCell ref="A5:C5"/>
    <mergeCell ref="D5:K5"/>
    <mergeCell ref="D9:K9"/>
    <mergeCell ref="A9:C9"/>
    <mergeCell ref="A6:C6"/>
    <mergeCell ref="D6:K6"/>
    <mergeCell ref="A8:C8"/>
    <mergeCell ref="D8:K8"/>
    <mergeCell ref="A7:C7"/>
    <mergeCell ref="D7:K7"/>
    <mergeCell ref="A1:O1"/>
    <mergeCell ref="D2:K2"/>
    <mergeCell ref="A2:C2"/>
    <mergeCell ref="A3:C3"/>
    <mergeCell ref="D3:K3"/>
    <mergeCell ref="B15:C15"/>
    <mergeCell ref="A11:C11"/>
    <mergeCell ref="D11:K11"/>
    <mergeCell ref="A12:C12"/>
    <mergeCell ref="D12:K12"/>
    <mergeCell ref="A13:C13"/>
    <mergeCell ref="D13:K13"/>
    <mergeCell ref="A14:C14"/>
    <mergeCell ref="D14:K14"/>
  </mergeCells>
  <phoneticPr fontId="8" type="noConversion"/>
  <hyperlinks>
    <hyperlink ref="D3" r:id="rId1" display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xr:uid="{ADDAD535-D337-4FFD-9D96-E71668258876}"/>
    <hyperlink ref="D4" r:id="rId2" xr:uid="{9F1ACB17-6E82-4BE9-AE2F-DD3A7897B824}"/>
    <hyperlink ref="D6" r:id="rId3" xr:uid="{4BE6A56D-A15F-4709-9442-C5C551560427}"/>
    <hyperlink ref="D7" r:id="rId4" xr:uid="{E1F7BCC5-E0E8-48DE-8BF7-1F798D499665}"/>
    <hyperlink ref="D5" r:id="rId5" xr:uid="{7B7E3558-F859-4855-81F1-04FC30972742}"/>
    <hyperlink ref="D8" r:id="rId6" xr:uid="{EF414EDB-2AE5-4BA0-B647-7A9AA9B5026E}"/>
    <hyperlink ref="D9" r:id="rId7" display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xr:uid="{1684B95C-C835-44D8-AB81-FDA5025FBF86}"/>
    <hyperlink ref="D10" r:id="rId8" display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xr:uid="{51B174F5-6BB2-4279-AB76-F1BD180812B4}"/>
    <hyperlink ref="D11" r:id="rId9" display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xr:uid="{977B3394-74E9-4C28-9A7A-2D78E2EF1D61}"/>
    <hyperlink ref="D12" r:id="rId10" display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xr:uid="{1B64C26C-582D-45EA-A75F-908C15971821}"/>
    <hyperlink ref="D13" r:id="rId11" xr:uid="{3D7FD4E7-2DB6-4A65-8617-BC4B80F569DB}"/>
    <hyperlink ref="D14" r:id="rId12" display="https://item.taobao.com/item.htm?abbucket=10&amp;id=561411160733&amp;mi_id=0000m6M57ZKam0CkM12JnWzo8G-6PlgVYWz0O1f4Xcq1aPc&amp;ns=1&amp;priceTId=2147822117750064375451056e102d&amp;skuId=6026493241058&amp;spm=a21n57.1.hoverItem.2&amp;utparam=%7B%22aplus_abtest%22%3A%226cfefea5938482214310840d59d8d09c%22%7D&amp;xxc=taobaoSearch" xr:uid="{B07888DE-5F55-451B-AA23-50A47E9CAE0D}"/>
  </hyperlinks>
  <pageMargins left="0.75" right="0.75" top="1" bottom="1" header="0.51180555555555596" footer="0.51180555555555596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2026-04-01T01:27:43Z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