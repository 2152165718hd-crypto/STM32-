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20\基于STM32的光伏板清洁设备控制系统的设计\1.案例清单\"/>
    </mc:Choice>
  </mc:AlternateContent>
  <xr:revisionPtr revIDLastSave="0" documentId="13_ncr:1_{0BFD88C4-21A0-4070-9972-DE8AF6B677C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2" i="1" l="1"/>
  <c r="N11" i="1"/>
  <c r="N10" i="1"/>
  <c r="O10" i="1"/>
  <c r="O11" i="1"/>
  <c r="O12" i="1"/>
  <c r="O15" i="1"/>
  <c r="N15" i="1"/>
  <c r="N6" i="1"/>
  <c r="N7" i="1"/>
  <c r="N8" i="1"/>
  <c r="N9" i="1"/>
  <c r="N13" i="1"/>
  <c r="N5" i="1"/>
  <c r="O5" i="1"/>
  <c r="O6" i="1"/>
  <c r="O7" i="1"/>
  <c r="O8" i="1"/>
  <c r="O9" i="1"/>
  <c r="O4" i="1"/>
  <c r="N4" i="1"/>
  <c r="O13" i="1"/>
  <c r="O14" i="1"/>
  <c r="O16" i="1"/>
  <c r="O17" i="1"/>
  <c r="O18" i="1"/>
  <c r="O3" i="1"/>
  <c r="N14" i="1"/>
  <c r="N16" i="1"/>
  <c r="N17" i="1"/>
  <c r="N18" i="1"/>
  <c r="N3" i="1"/>
  <c r="B19" i="1" l="1"/>
</calcChain>
</file>

<file path=xl/sharedStrings.xml><?xml version="1.0" encoding="utf-8"?>
<sst xmlns="http://schemas.openxmlformats.org/spreadsheetml/2006/main" count="40" uniqueCount="40">
  <si>
    <t>型号</t>
  </si>
  <si>
    <t>链接</t>
  </si>
  <si>
    <t>单价</t>
  </si>
  <si>
    <t>数量</t>
  </si>
  <si>
    <t>单价总价</t>
  </si>
  <si>
    <t>备注</t>
  </si>
  <si>
    <t>总计</t>
  </si>
  <si>
    <t>STM32F103C8T6核心开发板</t>
  </si>
  <si>
    <t>0.96寸白色OLED模块</t>
  </si>
  <si>
    <t>https://item.taobao.com/item.htm?from=cart&amp;id=522574797086&amp;mi_id=0000uY8Qjpfx8oMO_EeqWecxw19OlW6_UEmLNw9oWhO885k&amp;spm=a1z0d.6639537%2F202410.item.d522574797086.105e7484dKrRqu&amp;upStreamPrice=22</t>
  </si>
  <si>
    <t>PCB打板</t>
  </si>
  <si>
    <t>嘉立创PCB打板</t>
  </si>
  <si>
    <t>按键</t>
  </si>
  <si>
    <t>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</t>
  </si>
  <si>
    <t>排母</t>
  </si>
  <si>
    <t>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</t>
  </si>
  <si>
    <t>采购清单</t>
  </si>
  <si>
    <t>排针</t>
  </si>
  <si>
    <t>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</t>
  </si>
  <si>
    <t>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</t>
  </si>
  <si>
    <t>锡丝</t>
  </si>
  <si>
    <t>https://detail.tmall.com/item.htm?abbucket=10&amp;id=812251844151&amp;mi_id=0000_AfzIrfzpvJKPRxRw7qLITHMlzMPlTRWOmS76AhiqwQ&amp;ns=1&amp;priceTId=213e028617766856998055236e10d6&amp;skuId=5591088640273&amp;spm=a21n57.1.hoverItem.2&amp;utparam=%7B%22aplus_abtest%22%3A%22bfba70a09197e8b2b6a7b43bc241d8b1%22%7D&amp;xxc=taobaoSearch</t>
  </si>
  <si>
    <t>光照传感器</t>
  </si>
  <si>
    <t>直流电机</t>
  </si>
  <si>
    <t>ESP8266 Wi-Fi模块</t>
  </si>
  <si>
    <t>https://item.taobao.com/item.htm?abbucket=10&amp;id=950578162005&amp;mi_id=0000k39ofvpswIPyjGYRCRHqDNR1lGtZ-oDWefBhBHnb9lM&amp;ns=1&amp;priceTId=213e077217766873068206046e12ea&amp;spm=a21n57.1.hoverItem.3&amp;utparam=%7B%22aplus_abtest%22%3A%22379ab6261fd2d68cb6d5b27d91ff821e%22%7D&amp;xxc=taobaoSearch</t>
  </si>
  <si>
    <t>电流检测模块</t>
  </si>
  <si>
    <t>https://item.taobao.com/item.htm?abbucket=10&amp;id=965146222878&amp;mi_id=0000DO-veybw1TlIb50FfyGgEyz0gpTJbEbNFYqYeW-VQ6M&amp;ns=1&amp;priceTId=213e077217766874911726593e12ea&amp;skuId=5907411304278&amp;spm=a21n57.1.hoverItem.7&amp;utparam=%7B%22aplus_abtest%22%3A%22255fc98fe1349e889561b0ac68da136b%22%7D&amp;xxc=taobaoSearch</t>
  </si>
  <si>
    <t>https://item.taobao.com/item.htm?abbucket=10&amp;id=651806406945&amp;mi_id=0000dWyfVEgHrjoWz5NHkQoSwXtfVuddcnqEugMGTqdHBrY&amp;ns=1&amp;skuId=4875243075023&amp;spm=a21n57.1.hoverItem.5&amp;utparam=%7B%22aplus_abtest%22%3A%226cb6b83bcfbd9c6bc4736867d91cd376%22%7D&amp;xxc=taobaoSearch</t>
  </si>
  <si>
    <t>https://item.taobao.com/item.htm?abbucket=10&amp;id=544369472713&amp;mi_id=0000QUhmHmkf2-UImbPiYAQlRgOlb9d_D8_kVs2JHEwAzd0&amp;ns=1&amp;priceTId=213e077217766877443015332e12ea&amp;spm=a21n57.1.hoverItem.2&amp;utparam=%7B%22aplus_abtest%22%3A%2237ecaaf87dee81b31014e99b50a5013f%22%7D&amp;xxc=taobaoSearch</t>
  </si>
  <si>
    <t>TB6612电机驱动模块</t>
  </si>
  <si>
    <t>https://detail.tmall.com/item.htm?abbucket=10&amp;id=609021340442&amp;mi_id=0000M4eZqZ88AAlbdUkko5Gugu3tqC67qOGAbuaGzUZ4ECQ&amp;ns=1&amp;priceTId=213e077217766882339513542e12ea&amp;skuId=5109744088639&amp;spm=a21n57.1.hoverItem.33&amp;utparam=%7B%22aplus_abtest%22%3A%22963acb00af932dcff0ac88a19f1b5de5%22%7D&amp;xxc=taobaoSearch</t>
  </si>
  <si>
    <t>https://item.taobao.com/item.htm?abbucket=10&amp;id=558182761958&amp;mi_id=0000DuaBjfY6wlLw-MC6lU81q9YEtNFq3IhjX_aYVTGRIlI&amp;ns=1&amp;skuId=4867289172025&amp;spm=a21n57.1.hoverItem.2&amp;utparam=%7B%22aplus_abtest%22%3A%2213cf4c4eaf1e886ec7bd0ad1702af1ee%22%7D&amp;xxc=taobaoSearch</t>
  </si>
  <si>
    <t>杜邦线</t>
  </si>
  <si>
    <t>https://item.taobao.com/item.htm?spm=tbpc.boughtlist.suborder_itemtitle.1.773b2e8dDGG7Rr&amp;id=820860266208&amp;mi_id=00005H-IEh38mtbeMyoLfeSPt8SGBkTtHbomTuEEtKvTAmw</t>
  </si>
  <si>
    <t>原装XL3163锂电池太阳能充电模块Type-C接口5V太阳能充电电源模块</t>
  </si>
  <si>
    <t>https://item.taobao.com/item.htm?id=952990899064&amp;mi_id=0000y9rOZeu5sVGqNsv5Lf84YcdyqoDh5KQhTkJndCh_PNY&amp;spm=tbpc.boughtlist.suborder_itemtitle.1.773b2e8dDGG7Rr</t>
  </si>
  <si>
    <t xml:space="preserve">INA226 </t>
  </si>
  <si>
    <t>https://detail.tmall.com/item.htm?id=569363010625&amp;mi_id=0000gxZPyoCFE3r76blN377v9a7QnPs8cG7Ad1D-RJiX7Mk&amp;spm=tbpc.boughtlist.suborder_itemtitle.1.773b2e8dDGG7Rr</t>
  </si>
  <si>
    <t>太阳能滴胶板多晶太阳能电池板12V5V6V充电池DIY光伏板发电板折叠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</si>
</sst>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bbucket=10&amp;id=651806406945&amp;mi_id=0000dWyfVEgHrjoWz5NHkQoSwXtfVuddcnqEugMGTqdHBrY&amp;ns=1&amp;skuId=4875243075023&amp;spm=a21n57.1.hoverItem.5&amp;utparam=%7B%22aplus_abtest%22%3A%226cb6b83bcfbd9c6bc4736867d91cd376%22%7D&amp;xxc=taobaoSearch" TargetMode="External"/><Relationship Id="rId13" Type="http://schemas.openxmlformats.org/officeDocument/2006/relationships/hyperlink" Target="https://item.taobao.com/item.htm?spm=tbpc.boughtlist.suborder_itemtitle.1.773b2e8dDGG7Rr&amp;id=820860266208&amp;mi_id=00005H-IEh38mtbeMyoLfeSPt8SGBkTtHbomTuEEtKvTAmw" TargetMode="External"/><Relationship Id="rId3" Type="http://schemas.openxmlformats.org/officeDocument/2006/relationships/hyperlink" Target="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" TargetMode="External"/><Relationship Id="rId7" Type="http://schemas.openxmlformats.org/officeDocument/2006/relationships/hyperlink" Target="https://item.taobao.com/item.htm?abbucket=10&amp;id=965146222878&amp;mi_id=0000DO-veybw1TlIb50FfyGgEyz0gpTJbEbNFYqYeW-VQ6M&amp;ns=1&amp;priceTId=213e077217766874911726593e12ea&amp;skuId=5907411304278&amp;spm=a21n57.1.hoverItem.7&amp;utparam=%7B%22aplus_abtest%22%3A%22255fc98fe1349e889561b0ac68da136b%22%7D&amp;xxc=taobaoSearch" TargetMode="External"/><Relationship Id="rId12" Type="http://schemas.openxmlformats.org/officeDocument/2006/relationships/hyperlink" Target="https://item.taobao.com/item.htm?abbucket=10&amp;id=558182761958&amp;mi_id=0000DuaBjfY6wlLw-MC6lU81q9YEtNFq3IhjX_aYVTGRIlI&amp;ns=1&amp;skuId=4867289172025&amp;spm=a21n57.1.hoverItem.2&amp;utparam=%7B%22aplus_abtest%22%3A%2213cf4c4eaf1e886ec7bd0ad1702af1ee%22%7D&amp;xxc=taobaoSearch" TargetMode="External"/><Relationship Id="rId2" Type="http://schemas.openxmlformats.org/officeDocument/2006/relationships/hyperlink" Target="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from=cart&amp;id=522574797086&amp;mi_id=0000uY8Qjpfx8oMO_EeqWecxw19OlW6_UEmLNw9oWhO885k&amp;spm=a1z0d.6639537%2F202410.item.d522574797086.105e7484dKrRqu&amp;upStreamPrice=22" TargetMode="External"/><Relationship Id="rId6" Type="http://schemas.openxmlformats.org/officeDocument/2006/relationships/hyperlink" Target="https://item.taobao.com/item.htm?abbucket=10&amp;id=950578162005&amp;mi_id=0000k39ofvpswIPyjGYRCRHqDNR1lGtZ-oDWefBhBHnb9lM&amp;ns=1&amp;priceTId=213e077217766873068206046e12ea&amp;spm=a21n57.1.hoverItem.3&amp;utparam=%7B%22aplus_abtest%22%3A%22379ab6261fd2d68cb6d5b27d91ff821e%22%7D&amp;xxc=taobaoSearch" TargetMode="External"/><Relationship Id="rId11" Type="http://schemas.openxmlformats.org/officeDocument/2006/relationships/hyperlink" Target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TargetMode="External"/><Relationship Id="rId5" Type="http://schemas.openxmlformats.org/officeDocument/2006/relationships/hyperlink" Target="https://detail.tmall.com/item.htm?abbucket=10&amp;id=812251844151&amp;mi_id=0000_AfzIrfzpvJKPRxRw7qLITHMlzMPlTRWOmS76AhiqwQ&amp;ns=1&amp;priceTId=213e028617766856998055236e10d6&amp;skuId=5591088640273&amp;spm=a21n57.1.hoverItem.2&amp;utparam=%7B%22aplus_abtest%22%3A%22bfba70a09197e8b2b6a7b43bc241d8b1%22%7D&amp;xxc=taobaoSearch" TargetMode="External"/><Relationship Id="rId15" Type="http://schemas.openxmlformats.org/officeDocument/2006/relationships/hyperlink" Target="https://detail.tmall.com/item.htm?id=569363010625&amp;mi_id=0000gxZPyoCFE3r76blN377v9a7QnPs8cG7Ad1D-RJiX7Mk&amp;spm=tbpc.boughtlist.suborder_itemtitle.1.773b2e8dDGG7Rr" TargetMode="External"/><Relationship Id="rId10" Type="http://schemas.openxmlformats.org/officeDocument/2006/relationships/hyperlink" Target="https://detail.tmall.com/item.htm?abbucket=10&amp;id=609021340442&amp;mi_id=0000M4eZqZ88AAlbdUkko5Gugu3tqC67qOGAbuaGzUZ4ECQ&amp;ns=1&amp;priceTId=213e077217766882339513542e12ea&amp;skuId=5109744088639&amp;spm=a21n57.1.hoverItem.33&amp;utparam=%7B%22aplus_abtest%22%3A%22963acb00af932dcff0ac88a19f1b5de5%22%7D&amp;xxc=taobaoSearch" TargetMode="External"/><Relationship Id="rId4" Type="http://schemas.openxmlformats.org/officeDocument/2006/relationships/hyperlink" Target="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" TargetMode="External"/><Relationship Id="rId9" Type="http://schemas.openxmlformats.org/officeDocument/2006/relationships/hyperlink" Target="https://item.taobao.com/item.htm?abbucket=10&amp;id=544369472713&amp;mi_id=0000QUhmHmkf2-UImbPiYAQlRgOlb9d_D8_kVs2JHEwAzd0&amp;ns=1&amp;priceTId=213e077217766877443015332e12ea&amp;spm=a21n57.1.hoverItem.2&amp;utparam=%7B%22aplus_abtest%22%3A%2237ecaaf87dee81b31014e99b50a5013f%22%7D&amp;xxc=taobaoSearch" TargetMode="External"/><Relationship Id="rId14" Type="http://schemas.openxmlformats.org/officeDocument/2006/relationships/hyperlink" Target="https://item.taobao.com/item.htm?id=952990899064&amp;mi_id=0000y9rOZeu5sVGqNsv5Lf84YcdyqoDh5KQhTkJndCh_PNY&amp;spm=tbpc.boughtlist.suborder_itemtitle.1.773b2e8dDGG7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A2" zoomScale="130" zoomScaleNormal="130" workbookViewId="0">
      <selection activeCell="L13" sqref="L13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0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7" ht="27.75" customHeight="1">
      <c r="A2" s="12" t="s">
        <v>0</v>
      </c>
      <c r="B2" s="12"/>
      <c r="C2" s="12"/>
      <c r="D2" s="12" t="s">
        <v>1</v>
      </c>
      <c r="E2" s="12"/>
      <c r="F2" s="12"/>
      <c r="G2" s="12"/>
      <c r="H2" s="12"/>
      <c r="I2" s="12"/>
      <c r="J2" s="12"/>
      <c r="K2" s="12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3" t="s">
        <v>7</v>
      </c>
      <c r="B3" s="13"/>
      <c r="C3" s="13"/>
      <c r="D3" s="14" t="s">
        <v>18</v>
      </c>
      <c r="E3" s="14"/>
      <c r="F3" s="14"/>
      <c r="G3" s="14"/>
      <c r="H3" s="14"/>
      <c r="I3" s="14"/>
      <c r="J3" s="14"/>
      <c r="K3" s="14"/>
      <c r="L3" s="4">
        <v>14.9</v>
      </c>
      <c r="M3" s="4">
        <v>1</v>
      </c>
      <c r="N3" s="4">
        <f>L3*M3</f>
        <v>14.9</v>
      </c>
      <c r="O3" s="6" t="str">
        <f>A3</f>
        <v>STM32F103C8T6核心开发板</v>
      </c>
    </row>
    <row r="4" spans="1:17" ht="23.25" customHeight="1">
      <c r="A4" s="13" t="s">
        <v>8</v>
      </c>
      <c r="B4" s="13"/>
      <c r="C4" s="13"/>
      <c r="D4" s="15" t="s">
        <v>19</v>
      </c>
      <c r="E4" s="16"/>
      <c r="F4" s="16"/>
      <c r="G4" s="16"/>
      <c r="H4" s="16"/>
      <c r="I4" s="16"/>
      <c r="J4" s="16"/>
      <c r="K4" s="16"/>
      <c r="L4" s="4">
        <v>12.9</v>
      </c>
      <c r="M4" s="8">
        <v>1</v>
      </c>
      <c r="N4" s="4">
        <f t="shared" ref="N4" si="0">L4*M4</f>
        <v>12.9</v>
      </c>
      <c r="O4" s="6" t="str">
        <f t="shared" ref="O4:O12" si="1">A4</f>
        <v>0.96寸白色OLED模块</v>
      </c>
    </row>
    <row r="5" spans="1:17" ht="23.25" customHeight="1">
      <c r="A5" s="13" t="s">
        <v>22</v>
      </c>
      <c r="B5" s="13"/>
      <c r="C5" s="13"/>
      <c r="D5" s="15" t="s">
        <v>25</v>
      </c>
      <c r="E5" s="16"/>
      <c r="F5" s="16"/>
      <c r="G5" s="16"/>
      <c r="H5" s="16"/>
      <c r="I5" s="16"/>
      <c r="J5" s="16"/>
      <c r="K5" s="16"/>
      <c r="L5" s="4">
        <v>8.9</v>
      </c>
      <c r="M5" s="8">
        <v>1</v>
      </c>
      <c r="N5" s="4">
        <f>L5*M5</f>
        <v>8.9</v>
      </c>
      <c r="O5" s="6" t="str">
        <f t="shared" si="1"/>
        <v>光照传感器</v>
      </c>
    </row>
    <row r="6" spans="1:17" ht="23.25" customHeight="1">
      <c r="A6" s="13" t="s">
        <v>26</v>
      </c>
      <c r="B6" s="13"/>
      <c r="C6" s="13"/>
      <c r="D6" s="15" t="s">
        <v>27</v>
      </c>
      <c r="E6" s="16"/>
      <c r="F6" s="16"/>
      <c r="G6" s="16"/>
      <c r="H6" s="16"/>
      <c r="I6" s="16"/>
      <c r="J6" s="16"/>
      <c r="K6" s="16"/>
      <c r="L6" s="4">
        <v>18.920000000000002</v>
      </c>
      <c r="M6" s="8">
        <v>1</v>
      </c>
      <c r="N6" s="4">
        <f t="shared" ref="N6:N13" si="2">L6*M6</f>
        <v>18.920000000000002</v>
      </c>
      <c r="O6" s="6" t="str">
        <f t="shared" ref="O6" si="3">A6</f>
        <v>电流检测模块</v>
      </c>
    </row>
    <row r="7" spans="1:17" ht="23.25" customHeight="1">
      <c r="A7" s="13" t="s">
        <v>23</v>
      </c>
      <c r="B7" s="13"/>
      <c r="C7" s="13"/>
      <c r="D7" s="15" t="s">
        <v>28</v>
      </c>
      <c r="E7" s="16"/>
      <c r="F7" s="16"/>
      <c r="G7" s="16"/>
      <c r="H7" s="16"/>
      <c r="I7" s="16"/>
      <c r="J7" s="16"/>
      <c r="K7" s="16"/>
      <c r="L7" s="4">
        <v>12.65</v>
      </c>
      <c r="M7" s="8">
        <v>1</v>
      </c>
      <c r="N7" s="4">
        <f t="shared" si="2"/>
        <v>12.65</v>
      </c>
      <c r="O7" s="6" t="str">
        <f t="shared" si="1"/>
        <v>直流电机</v>
      </c>
    </row>
    <row r="8" spans="1:17" ht="23.25" customHeight="1">
      <c r="A8" s="13" t="s">
        <v>24</v>
      </c>
      <c r="B8" s="13"/>
      <c r="C8" s="13"/>
      <c r="D8" s="15" t="s">
        <v>29</v>
      </c>
      <c r="E8" s="16"/>
      <c r="F8" s="16"/>
      <c r="G8" s="16"/>
      <c r="H8" s="16"/>
      <c r="I8" s="16"/>
      <c r="J8" s="16"/>
      <c r="K8" s="16"/>
      <c r="L8" s="4">
        <v>10.45</v>
      </c>
      <c r="M8" s="8">
        <v>1</v>
      </c>
      <c r="N8" s="4">
        <f t="shared" si="2"/>
        <v>10.45</v>
      </c>
      <c r="O8" s="6" t="str">
        <f t="shared" ref="O8" si="4">A8</f>
        <v>ESP8266 Wi-Fi模块</v>
      </c>
    </row>
    <row r="9" spans="1:17" ht="23.25" customHeight="1">
      <c r="A9" s="13" t="s">
        <v>30</v>
      </c>
      <c r="B9" s="13"/>
      <c r="C9" s="13"/>
      <c r="D9" s="15" t="s">
        <v>31</v>
      </c>
      <c r="E9" s="16"/>
      <c r="F9" s="16"/>
      <c r="G9" s="16"/>
      <c r="H9" s="16"/>
      <c r="I9" s="16"/>
      <c r="J9" s="16"/>
      <c r="K9" s="16"/>
      <c r="L9" s="4">
        <v>14.9</v>
      </c>
      <c r="M9" s="8">
        <v>1</v>
      </c>
      <c r="N9" s="4">
        <f t="shared" si="2"/>
        <v>14.9</v>
      </c>
      <c r="O9" s="6" t="str">
        <f t="shared" si="1"/>
        <v>TB6612电机驱动模块</v>
      </c>
    </row>
    <row r="10" spans="1:17" ht="23.25" customHeight="1">
      <c r="A10" s="13" t="s">
        <v>35</v>
      </c>
      <c r="B10" s="13"/>
      <c r="C10" s="13"/>
      <c r="D10" s="15" t="s">
        <v>34</v>
      </c>
      <c r="E10" s="16"/>
      <c r="F10" s="16"/>
      <c r="G10" s="16"/>
      <c r="H10" s="16"/>
      <c r="I10" s="16"/>
      <c r="J10" s="16"/>
      <c r="K10" s="16"/>
      <c r="L10" s="4">
        <v>5.39</v>
      </c>
      <c r="M10" s="9">
        <v>1</v>
      </c>
      <c r="N10" s="4">
        <f t="shared" si="2"/>
        <v>5.39</v>
      </c>
      <c r="O10" s="6" t="str">
        <f t="shared" si="1"/>
        <v>原装XL3163锂电池太阳能充电模块Type-C接口5V太阳能充电电源模块</v>
      </c>
    </row>
    <row r="11" spans="1:17" ht="23.25" customHeight="1">
      <c r="A11" s="13" t="s">
        <v>37</v>
      </c>
      <c r="B11" s="13"/>
      <c r="C11" s="13"/>
      <c r="D11" s="15" t="s">
        <v>36</v>
      </c>
      <c r="E11" s="16"/>
      <c r="F11" s="16"/>
      <c r="G11" s="16"/>
      <c r="H11" s="16"/>
      <c r="I11" s="16"/>
      <c r="J11" s="16"/>
      <c r="K11" s="16"/>
      <c r="L11" s="4">
        <v>5.73</v>
      </c>
      <c r="M11" s="9">
        <v>1</v>
      </c>
      <c r="N11" s="4">
        <f t="shared" si="2"/>
        <v>5.73</v>
      </c>
      <c r="O11" s="6" t="str">
        <f t="shared" ref="O11" si="5">A11</f>
        <v xml:space="preserve">INA226 </v>
      </c>
    </row>
    <row r="12" spans="1:17" ht="23.25" customHeight="1">
      <c r="A12" s="13" t="s">
        <v>39</v>
      </c>
      <c r="B12" s="13"/>
      <c r="C12" s="13"/>
      <c r="D12" s="15" t="s">
        <v>38</v>
      </c>
      <c r="E12" s="16"/>
      <c r="F12" s="16"/>
      <c r="G12" s="16"/>
      <c r="H12" s="16"/>
      <c r="I12" s="16"/>
      <c r="J12" s="16"/>
      <c r="K12" s="16"/>
      <c r="L12" s="4">
        <v>8</v>
      </c>
      <c r="M12" s="9">
        <v>1</v>
      </c>
      <c r="N12" s="4">
        <f t="shared" si="2"/>
        <v>8</v>
      </c>
      <c r="O12" s="6" t="str">
        <f t="shared" si="1"/>
        <v>太阳能滴胶板多晶太阳能电池板12V5V6V充电池DIY光伏板发电板折叠</v>
      </c>
    </row>
    <row r="13" spans="1:17" ht="23.25" customHeight="1">
      <c r="A13" s="13" t="s">
        <v>20</v>
      </c>
      <c r="B13" s="13"/>
      <c r="C13" s="13"/>
      <c r="D13" s="15" t="s">
        <v>21</v>
      </c>
      <c r="E13" s="16"/>
      <c r="F13" s="16"/>
      <c r="G13" s="16"/>
      <c r="H13" s="16"/>
      <c r="I13" s="16"/>
      <c r="J13" s="16"/>
      <c r="K13" s="16"/>
      <c r="L13" s="4">
        <v>12.9</v>
      </c>
      <c r="M13" s="3">
        <v>1</v>
      </c>
      <c r="N13" s="4">
        <f t="shared" si="2"/>
        <v>12.9</v>
      </c>
      <c r="O13" s="6" t="str">
        <f t="shared" ref="O13:O18" si="6">A13</f>
        <v>锡丝</v>
      </c>
    </row>
    <row r="14" spans="1:17" ht="24.75" customHeight="1">
      <c r="A14" s="17" t="s">
        <v>17</v>
      </c>
      <c r="B14" s="17"/>
      <c r="C14" s="17"/>
      <c r="D14" s="15" t="s">
        <v>9</v>
      </c>
      <c r="E14" s="16"/>
      <c r="F14" s="16"/>
      <c r="G14" s="16"/>
      <c r="H14" s="16"/>
      <c r="I14" s="16"/>
      <c r="J14" s="16"/>
      <c r="K14" s="16"/>
      <c r="L14" s="4">
        <v>3.1</v>
      </c>
      <c r="M14" s="4">
        <v>1</v>
      </c>
      <c r="N14" s="4">
        <f t="shared" ref="N14:N18" si="7">L14*M14</f>
        <v>3.1</v>
      </c>
      <c r="O14" s="6" t="str">
        <f t="shared" si="6"/>
        <v>排针</v>
      </c>
    </row>
    <row r="15" spans="1:17" ht="24.75" customHeight="1">
      <c r="A15" s="17" t="s">
        <v>14</v>
      </c>
      <c r="B15" s="17"/>
      <c r="C15" s="17"/>
      <c r="D15" s="15" t="s">
        <v>15</v>
      </c>
      <c r="E15" s="16"/>
      <c r="F15" s="16"/>
      <c r="G15" s="16"/>
      <c r="H15" s="16"/>
      <c r="I15" s="16"/>
      <c r="J15" s="16"/>
      <c r="K15" s="16"/>
      <c r="L15" s="4">
        <v>4</v>
      </c>
      <c r="M15" s="4">
        <v>1</v>
      </c>
      <c r="N15" s="4">
        <f t="shared" ref="N15" si="8">L15*M15</f>
        <v>4</v>
      </c>
      <c r="O15" s="6" t="str">
        <f t="shared" ref="O15" si="9">A15</f>
        <v>排母</v>
      </c>
      <c r="P15" s="4"/>
      <c r="Q15" s="4"/>
    </row>
    <row r="16" spans="1:17" ht="24.75" customHeight="1">
      <c r="A16" s="17" t="s">
        <v>33</v>
      </c>
      <c r="B16" s="17"/>
      <c r="C16" s="17"/>
      <c r="D16" s="15" t="s">
        <v>32</v>
      </c>
      <c r="E16" s="16"/>
      <c r="F16" s="16"/>
      <c r="G16" s="16"/>
      <c r="H16" s="16"/>
      <c r="I16" s="16"/>
      <c r="J16" s="16"/>
      <c r="K16" s="16"/>
      <c r="L16" s="4">
        <v>3.79</v>
      </c>
      <c r="M16" s="4">
        <v>1</v>
      </c>
      <c r="N16" s="4">
        <f t="shared" si="7"/>
        <v>3.79</v>
      </c>
      <c r="O16" s="6" t="str">
        <f t="shared" si="6"/>
        <v>杜邦线</v>
      </c>
      <c r="P16" s="4"/>
      <c r="Q16" s="4"/>
    </row>
    <row r="17" spans="1:15" ht="23.45" customHeight="1">
      <c r="A17" s="17" t="s">
        <v>12</v>
      </c>
      <c r="B17" s="17"/>
      <c r="C17" s="17"/>
      <c r="D17" s="15" t="s">
        <v>13</v>
      </c>
      <c r="E17" s="16"/>
      <c r="F17" s="16"/>
      <c r="G17" s="16"/>
      <c r="H17" s="16"/>
      <c r="I17" s="16"/>
      <c r="J17" s="16"/>
      <c r="K17" s="16"/>
      <c r="L17" s="4">
        <v>3.8</v>
      </c>
      <c r="M17" s="4">
        <v>1</v>
      </c>
      <c r="N17" s="4">
        <f t="shared" si="7"/>
        <v>3.8</v>
      </c>
      <c r="O17" s="6" t="str">
        <f t="shared" si="6"/>
        <v>按键</v>
      </c>
    </row>
    <row r="18" spans="1:15" ht="24.75" customHeight="1">
      <c r="A18" s="17" t="s">
        <v>10</v>
      </c>
      <c r="B18" s="17"/>
      <c r="C18" s="17"/>
      <c r="D18" s="15" t="s">
        <v>11</v>
      </c>
      <c r="E18" s="16"/>
      <c r="F18" s="16"/>
      <c r="G18" s="16"/>
      <c r="H18" s="16"/>
      <c r="I18" s="16"/>
      <c r="J18" s="16"/>
      <c r="K18" s="16"/>
      <c r="L18" s="4">
        <v>20</v>
      </c>
      <c r="M18" s="4">
        <v>1</v>
      </c>
      <c r="N18" s="4">
        <f t="shared" si="7"/>
        <v>20</v>
      </c>
      <c r="O18" s="6" t="str">
        <f t="shared" si="6"/>
        <v>PCB打板</v>
      </c>
    </row>
    <row r="19" spans="1:15" ht="23.25" customHeight="1">
      <c r="A19" s="7" t="s">
        <v>6</v>
      </c>
      <c r="B19" s="18">
        <f>SUM(N3:N18)</f>
        <v>160.33000000000004</v>
      </c>
      <c r="C19" s="18"/>
      <c r="D19" s="4"/>
      <c r="E19" s="4"/>
      <c r="G19" s="4"/>
      <c r="H19" s="4"/>
      <c r="I19" s="4"/>
      <c r="J19" s="4"/>
      <c r="K19" s="4"/>
      <c r="L19" s="4"/>
      <c r="M19" s="4"/>
      <c r="N19" s="4"/>
      <c r="O19" s="4"/>
    </row>
    <row r="22" spans="1:15" ht="14.1" customHeight="1">
      <c r="H22" s="5"/>
    </row>
  </sheetData>
  <mergeCells count="36">
    <mergeCell ref="A4:C4"/>
    <mergeCell ref="D4:K4"/>
    <mergeCell ref="A8:C8"/>
    <mergeCell ref="D8:K8"/>
    <mergeCell ref="A7:C7"/>
    <mergeCell ref="D7:K7"/>
    <mergeCell ref="A6:C6"/>
    <mergeCell ref="D6:K6"/>
    <mergeCell ref="A5:C5"/>
    <mergeCell ref="D5:K5"/>
    <mergeCell ref="B19:C19"/>
    <mergeCell ref="A17:C17"/>
    <mergeCell ref="D17:K17"/>
    <mergeCell ref="A18:C18"/>
    <mergeCell ref="D18:K18"/>
    <mergeCell ref="A13:C13"/>
    <mergeCell ref="D13:K13"/>
    <mergeCell ref="A9:C9"/>
    <mergeCell ref="D9:K9"/>
    <mergeCell ref="A16:C16"/>
    <mergeCell ref="D16:K16"/>
    <mergeCell ref="A15:C15"/>
    <mergeCell ref="D15:K15"/>
    <mergeCell ref="A14:C14"/>
    <mergeCell ref="D14:K14"/>
    <mergeCell ref="A12:C12"/>
    <mergeCell ref="D12:K12"/>
    <mergeCell ref="A11:C11"/>
    <mergeCell ref="D11:K11"/>
    <mergeCell ref="A10:C10"/>
    <mergeCell ref="D10:K10"/>
    <mergeCell ref="A1:O1"/>
    <mergeCell ref="D2:K2"/>
    <mergeCell ref="A2:C2"/>
    <mergeCell ref="A3:C3"/>
    <mergeCell ref="D3:K3"/>
  </mergeCells>
  <phoneticPr fontId="8" type="noConversion"/>
  <hyperlinks>
    <hyperlink ref="D14" r:id="rId1" xr:uid="{E1C99CC8-A812-4496-AFD3-515560C6D72E}"/>
    <hyperlink ref="D17" r:id="rId2" xr:uid="{886AD18D-C573-49BF-8996-BBCAEF34F805}"/>
    <hyperlink ref="D3" r:id="rId3" display="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" xr:uid="{1F3CCA0B-90D3-47FE-8A99-772E1995C43D}"/>
    <hyperlink ref="D4" r:id="rId4" display="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" xr:uid="{46BED750-E1C1-4F12-BE82-EB7BB64AAC29}"/>
    <hyperlink ref="D13" r:id="rId5" display="https://detail.tmall.com/item.htm?abbucket=10&amp;id=812251844151&amp;mi_id=0000_AfzIrfzpvJKPRxRw7qLITHMlzMPlTRWOmS76AhiqwQ&amp;ns=1&amp;priceTId=213e028617766856998055236e10d6&amp;skuId=5591088640273&amp;spm=a21n57.1.hoverItem.2&amp;utparam=%7B%22aplus_abtest%22%3A%22bfba70a09197e8b2b6a7b43bc241d8b1%22%7D&amp;xxc=taobaoSearch" xr:uid="{743A2379-E081-4133-AB63-7F4477EDFF47}"/>
    <hyperlink ref="D5" r:id="rId6" display="https://item.taobao.com/item.htm?abbucket=10&amp;id=950578162005&amp;mi_id=0000k39ofvpswIPyjGYRCRHqDNR1lGtZ-oDWefBhBHnb9lM&amp;ns=1&amp;priceTId=213e077217766873068206046e12ea&amp;spm=a21n57.1.hoverItem.3&amp;utparam=%7B%22aplus_abtest%22%3A%22379ab6261fd2d68cb6d5b27d91ff821e%22%7D&amp;xxc=taobaoSearch" xr:uid="{BFDD9165-6D0C-4460-A7D5-CA906F13EF2D}"/>
    <hyperlink ref="D6" r:id="rId7" display="https://item.taobao.com/item.htm?abbucket=10&amp;id=965146222878&amp;mi_id=0000DO-veybw1TlIb50FfyGgEyz0gpTJbEbNFYqYeW-VQ6M&amp;ns=1&amp;priceTId=213e077217766874911726593e12ea&amp;skuId=5907411304278&amp;spm=a21n57.1.hoverItem.7&amp;utparam=%7B%22aplus_abtest%22%3A%22255fc98fe1349e889561b0ac68da136b%22%7D&amp;xxc=taobaoSearch" xr:uid="{C1532F7D-6E39-4D5A-A73A-D0F059CB27EE}"/>
    <hyperlink ref="D7" r:id="rId8" xr:uid="{84708CA5-5060-4F40-9CD3-C53A0DCA78E4}"/>
    <hyperlink ref="D8" r:id="rId9" display="https://item.taobao.com/item.htm?abbucket=10&amp;id=544369472713&amp;mi_id=0000QUhmHmkf2-UImbPiYAQlRgOlb9d_D8_kVs2JHEwAzd0&amp;ns=1&amp;priceTId=213e077217766877443015332e12ea&amp;spm=a21n57.1.hoverItem.2&amp;utparam=%7B%22aplus_abtest%22%3A%2237ecaaf87dee81b31014e99b50a5013f%22%7D&amp;xxc=taobaoSearch" xr:uid="{970733E7-CD4A-4C80-AF54-6522768C99FF}"/>
    <hyperlink ref="D9" r:id="rId10" display="https://detail.tmall.com/item.htm?abbucket=10&amp;id=609021340442&amp;mi_id=0000M4eZqZ88AAlbdUkko5Gugu3tqC67qOGAbuaGzUZ4ECQ&amp;ns=1&amp;priceTId=213e077217766882339513542e12ea&amp;skuId=5109744088639&amp;spm=a21n57.1.hoverItem.33&amp;utparam=%7B%22aplus_abtest%22%3A%22963acb00af932dcff0ac88a19f1b5de5%22%7D&amp;xxc=taobaoSearch" xr:uid="{62643BB7-F3B0-4A2F-B2C6-58F948284ED9}"/>
    <hyperlink ref="D15" r:id="rId11" display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xr:uid="{2A3D60E9-4920-488C-A7FD-F5CE11313FA8}"/>
    <hyperlink ref="D16" r:id="rId12" xr:uid="{D9354D8D-B32D-45F2-9808-204C32C51F16}"/>
    <hyperlink ref="D10" r:id="rId13" xr:uid="{D9A8F026-D12B-4773-B630-4CB37DC5A721}"/>
    <hyperlink ref="D11" r:id="rId14" xr:uid="{03C3D08D-11A7-4F6A-BB53-B3458D67B77D}"/>
    <hyperlink ref="D12" r:id="rId15" xr:uid="{61FDB897-960F-42E5-B9F9-A36D532F08D9}"/>
  </hyperlinks>
  <pageMargins left="0.75" right="0.75" top="1" bottom="1" header="0.51180555555555596" footer="0.51180555555555596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2026-05-10T13:40:55Z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