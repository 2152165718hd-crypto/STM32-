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ktop\4.1\基于stm32的电子签到系统\1.清单\"/>
    </mc:Choice>
  </mc:AlternateContent>
  <xr:revisionPtr revIDLastSave="0" documentId="13_ncr:1_{1C8981F8-36C3-4199-A48E-D371BDDCE0D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7" i="1" l="1"/>
  <c r="N16" i="1"/>
  <c r="O9" i="1"/>
  <c r="N14" i="1"/>
  <c r="O10" i="1"/>
  <c r="N15" i="1"/>
  <c r="O11" i="1"/>
  <c r="O12" i="1"/>
  <c r="O13" i="1"/>
  <c r="O14" i="1"/>
  <c r="O15" i="1"/>
  <c r="O8" i="1"/>
  <c r="O7" i="1"/>
  <c r="N13" i="1"/>
  <c r="N7" i="1"/>
  <c r="N8" i="1"/>
  <c r="N11" i="1"/>
  <c r="N12" i="1"/>
  <c r="N3" i="1"/>
  <c r="B18" i="1" l="1"/>
</calcChain>
</file>

<file path=xl/sharedStrings.xml><?xml version="1.0" encoding="utf-8"?>
<sst xmlns="http://schemas.openxmlformats.org/spreadsheetml/2006/main" count="44" uniqueCount="40">
  <si>
    <t>型号</t>
  </si>
  <si>
    <t>链接</t>
  </si>
  <si>
    <t>单价</t>
  </si>
  <si>
    <t>数量</t>
  </si>
  <si>
    <t>单价总价</t>
  </si>
  <si>
    <t>备注</t>
  </si>
  <si>
    <t>总计</t>
  </si>
  <si>
    <t>STM32F103C8T6开发板</t>
  </si>
  <si>
    <t>0.96寸OLED</t>
  </si>
  <si>
    <t>ESP8266-01S</t>
  </si>
  <si>
    <t>排母</t>
  </si>
  <si>
    <t>CMSIS DAP/DAPLink仿真器</t>
  </si>
  <si>
    <t>基于STM32单片机自动识别控制系统设计系统设计与实现采购清单</t>
  </si>
  <si>
    <t>https://item.taobao.com/item.htm?abbucket=10&amp;id=620064088112&amp;mi_id=0000moTDEEXN3mUVy09EuNHjXQAJJX9qLr0QPpirAPhv3Is&amp;ns=1&amp;priceTId=213e079817749532474504430e1380&amp;skuId=5288578994316&amp;spm=a21n57.1.hoverItem.2&amp;utparam=%7B%22aplus_abtest%22%3A%227ea4b001224627425db100eb0aef8f43%22%7D&amp;xxc=taobaoSearch</t>
  </si>
  <si>
    <t>https://item.taobao.com/item.htm?from=cart&amp;id=40511001950&amp;mi_id=0000lqT9Fii61Qo6eEe9XBgf_PRCtxXKmLYiMBX17OADeJk&amp;skuId=5334311157373&amp;spm=a1z0d.6639537%2F202410.item.d40511001950.3b787484H8Zzz5&amp;upStreamPrice=740</t>
  </si>
  <si>
    <t>https://item.taobao.com/item.htm?from=cart&amp;id=562145367495&amp;mi_id=0000w9WWqige3zDtQ8sZci3pfSrLA-g_MWoEEzYr1RURzjo&amp;skuId=4843968313715&amp;spm=a1z0d.6639537%2F202410.item.d562145367495.3b787484UpXFAU&amp;upStreamPrice=1089</t>
  </si>
  <si>
    <t>蜂鸣器</t>
  </si>
  <si>
    <t>按键</t>
  </si>
  <si>
    <t>锡丝</t>
  </si>
  <si>
    <t>https://item.taobao.com/item.htm?from=cart&amp;id=522572589576&amp;mi_id=00002-C7pr5Tj0gskJ_a7lmk-4hrl1pnxbulsdBpVXrj6M0&amp;spm=a1z0d.6639537%2F202410.item.d522572589576.23d77484QG8HZB&amp;upStreamPrice=176</t>
  </si>
  <si>
    <t>https://detail.tmall.com/item.htm?abbucket=10&amp;id=15876519188&amp;mi_id=0000m4iRCMNAj-rIETllq8K2WV8rmAlS69y9_xKHpgCLmFY&amp;ns=1&amp;priceTId=214784df17749540124476872e1359&amp;skuId=4166613897106&amp;spm=a21n57.1.hoverItem.5&amp;utparam=%7B%22aplus_abtest%22%3A%22cfc16d6c2442923846b9de157cf3a42b%22%7D&amp;xxc=taobaoSearch</t>
  </si>
  <si>
    <t>https://detail.tmall.com/item.htm?ali_refid=a3_430582_1006%3A2692409418%3AH%3Aqb4O%2BSy43Jxwr8kbMY1C1g%3D%3D%3Afdabdb0420b7b5240539dc736884b509&amp;ali_trackid=318_fdabdb0420b7b5240539dc736884b509&amp;id=972137046228&amp;mi_id=0000STl7H7xkv38K1FUU0tLxH2nUdzvAJOSx7DrtOCCOWTU&amp;mm_sceneid=0_0_9697686392_0&amp;priceTId=214784df17749540839543402e1359&amp;skuId=5923059484108&amp;spm=a21n57.1.hoverItem.1&amp;utparam=%7B%22aplus_abtest%22%3A%22c44c3a2faf055954707bfd9cf0b811cf%22%7D&amp;xxc=ad_ztc</t>
  </si>
  <si>
    <t>https://item.taobao.com/item.htm?abbucket=10&amp;id=522579376259&amp;mi_id=0000vhsbTI0e7o27yKg1NV_JRrEO9jjlEKo0pTs2YASt9Ok&amp;ns=1&amp;priceTId=214784df17749543602033346e1359&amp;skuId=6139961763391&amp;spm=a21n57.1.hoverItem.2&amp;utparam=%7B%22aplus_abtest%22%3A%225b3999a20d242dd162290fc364d734eb%22%7D&amp;xxc=taobaoSearch</t>
  </si>
  <si>
    <t>https://detail.tmall.com/item.htm?abbucket=10&amp;id=737445554076&amp;mi_id=0000LppKJnSkW195VnqPIXWKCp2DrxUQpeGg4SWt3OsMnr8&amp;ns=1&amp;priceTId=2147842f17749548316768086e106c&amp;skuId=5852561164058&amp;spm=a21n57.1.hoverItem.2&amp;utparam=%7B%22aplus_abtest%22%3A%224d50f8509ef0b0b1867b2724b14882e2%22%7D&amp;xxc=taobaoSearch</t>
  </si>
  <si>
    <t>https://detail.tmall.com/item.htm?from=cart&amp;id=600229654865&amp;mi_id=0000awxNcbqtORAiX-udAqT441OPeEO62NeRG2aqpHXucaI&amp;skuId=4516209870637&amp;spm=a1z0d.6639537%2F202410.item.d600229654865.3b7874846Y32bo&amp;upStreamPrice=680</t>
  </si>
  <si>
    <t>MFRC-522 RC522 RFID</t>
  </si>
  <si>
    <t xml:space="preserve">AT24C256 I2C接口 EEPROM 存储模块 </t>
  </si>
  <si>
    <t>https://item.taobao.com/item.htm?id=522575932811&amp;pisk=gPYxxWZXMYDmjSgSprmkSTlgKycuM0A2wKRQSOX0fLpJnBtcmC6GWdp9Btjs3ZY9eKABmiA6S1TOuUx0StDVWC9hWvDn-2A2gi7sKvDFnI3lR6w_GRXjPz_G6aqCZuO2gN7_ZRiHVIuTlfjIcN91PT1OtNZfGGGRV1CG5rs_luw5U1_15iZfNT11ssa_ciG8P1Cgc-1bcTs5g1Cf5N9_NbCNFs_15dOSw1kEZAB7GO49Va0balN1RPa6ysISqI6WrUGGGie6MTasfKfx89OfePa1d5ellQdmHyRluQ9dtK07kpdezLCWdVHR7L-6C1pS8Rb2xK8F2QoQPIQAUM1BPfaCIEKkOTQL1qORktIBoM3t6pOJ1HjJrXgFkZ6XjZRg9xAJkKA2yCV_VZQD2MLAR2yfI3ApW1LZQ4ppTUJRNpgthgry-eCizJXdsoG-wlrNc_SnMV7Vq4uAh_BnMVEabglPw9c-wlrNc_5RKj3TblSra&amp;spm=pc_detail.30350276.guessitem.d1</t>
  </si>
  <si>
    <t>DS1302 DS3231 DS1307实时时钟模块</t>
  </si>
  <si>
    <t>https://detail.tmall.com/item.htm?from=cart&amp;id=41161779230&amp;mi_id=0000XxJnEJRGSGUseKLxYjeiVF7xUBeJ8R5l7jTKq7G_ccM&amp;skuId=4021392105899&amp;spm=a1z0d.6639537%2F202410.item.d41161779230.504b7484QfvY48&amp;upStreamPrice=963</t>
  </si>
  <si>
    <t>LED</t>
  </si>
  <si>
    <t>https://detail.tmall.com/item.htm?abbucket=10&amp;id=14525748552&amp;mi_id=0000cIqmZPW3UhO2SgSu4SvQhR4gtTfCvQ1cIE46pQlXhqo&amp;ns=1&amp;priceTId=2147829c17749576480362730e117a&amp;skuId=5008703721553&amp;spm=a21n57.1.hoverItem.2&amp;utparam=%7B%22aplus_abtest%22%3A%2299d44fa87bb15f54135e8b4a698221c2%22%7D&amp;xxc=taobaoSearch</t>
  </si>
  <si>
    <t>限流电阻</t>
  </si>
  <si>
    <t>https://item.taobao.com/item.htm?abbucket=10&amp;id=839562883473&amp;mi_id=0000YIo9E3LJjarq6u5vH6pL72QOgD5kp7tKR9ucC-Y4s_Y&amp;ns=1&amp;priceTId=2147829c17749578648435395e117a&amp;skuId=5605643049876&amp;spm=a21n57.1.hoverItem.2&amp;utparam=%7B%22aplus_abtest%22%3A%22850a1a7a5bed128dd9eb894021367c50%22%7D&amp;xxc=taobaoSearch</t>
  </si>
  <si>
    <t>https://item.taobao.com/item.htm?abbucket=10&amp;id=558182761958&amp;mi_id=0000DuaBjfY6wlLw-MC6lU81q8Ilz1mHHD3F2a2DTMmdWA0&amp;ns=1&amp;skuId=4867289172029&amp;spm=a21n57.1.hoverItem.2&amp;utparam=%7B%22aplus_abtest%22%3A%222d7cb409e9445d8cf01845fff9dc42f6%22%7D&amp;xxc=taobaoSearch</t>
  </si>
  <si>
    <t>杜邦线</t>
  </si>
  <si>
    <t>杜邦线公对母+杜邦线母对公</t>
  </si>
  <si>
    <t>洞洞板</t>
  </si>
  <si>
    <t>https://item.taobao.com/item.htm?abbucket=10&amp;id=561411160733&amp;mi_id=0000m6M57ZKam0CkM12JnWzo8G-6PlgVYWz0O1f4Xcq1aPc&amp;ns=1&amp;priceTId=2147822117750064375451056e102d&amp;skuId=6026493241058&amp;spm=a21n57.1.hoverItem.2&amp;utparam=%7B%22aplus_abtest%22%3A%226cfefea5938482214310840d59d8d09c%22%7D&amp;xxc=taobaoSearch</t>
  </si>
  <si>
    <t>双面喷锡板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</si>
</sst>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name val="宋体"/>
    </font>
    <font>
      <b/>
      <sz val="16"/>
      <name val="serif"/>
    </font>
    <font>
      <b/>
      <sz val="11"/>
      <color rgb="FF000000"/>
      <name val="serif"/>
      <family val="2"/>
    </font>
    <font>
      <b/>
      <sz val="11"/>
      <name val="serif"/>
    </font>
    <font>
      <sz val="10"/>
      <color rgb="FF000000"/>
      <name val="serif"/>
      <family val="2"/>
    </font>
    <font>
      <sz val="10"/>
      <name val="serif"/>
    </font>
    <font>
      <u/>
      <sz val="11"/>
      <color indexed="4"/>
      <name val="宋体"/>
      <family val="3"/>
      <charset val="134"/>
    </font>
    <font>
      <u/>
      <sz val="11"/>
      <color theme="10"/>
      <name val="宋体"/>
      <family val="3"/>
      <charset val="134"/>
    </font>
    <font>
      <sz val="9"/>
      <name val="宋体"/>
      <family val="3"/>
      <charset val="134"/>
    </font>
    <font>
      <b/>
      <sz val="16"/>
      <name val="微软雅黑"/>
      <family val="2"/>
      <charset val="134"/>
    </font>
    <font>
      <b/>
      <sz val="10"/>
      <name val="serif"/>
    </font>
    <font>
      <sz val="10"/>
      <color rgb="FF00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1">
      <alignment vertical="center"/>
    </xf>
    <xf numFmtId="0" fontId="1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1" xfId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0" xfId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7"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left/>
        <right/>
        <top style="double">
          <color rgb="FF5B9BD5"/>
        </top>
        <bottom/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horizontal style="thin">
          <color rgb="FF9BC2E6"/>
        </horizontal>
      </border>
    </dxf>
  </dxfs>
  <tableStyles count="1" defaultTableStyle="TableStylePreset3_Accent1">
    <tableStyle name="TableStylePreset3_Accent1" count="7" xr9:uid="{00000000-0011-0000-FFFF-FFFF00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tail.tmall.com/item.htm?abbucket=10&amp;id=737445554076&amp;mi_id=0000LppKJnSkW195VnqPIXWKCp2DrxUQpeGg4SWt3OsMnr8&amp;ns=1&amp;priceTId=2147842f17749548316768086e106c&amp;skuId=5852561164058&amp;spm=a21n57.1.hoverItem.2&amp;utparam=%7B%22aplus_abtest%22%3A%224d50f8509ef0b0b1867b2724b14882e2%22%7D&amp;xxc=taobaoSearch" TargetMode="External"/><Relationship Id="rId13" Type="http://schemas.openxmlformats.org/officeDocument/2006/relationships/hyperlink" Target="https://item.taobao.com/item.htm?abbucket=10&amp;id=558182761958&amp;mi_id=0000DuaBjfY6wlLw-MC6lU81q8Ilz1mHHD3F2a2DTMmdWA0&amp;ns=1&amp;skuId=4867289172029&amp;spm=a21n57.1.hoverItem.2&amp;utparam=%7B%22aplus_abtest%22%3A%222d7cb409e9445d8cf01845fff9dc42f6%22%7D&amp;xxc=taobaoSearch" TargetMode="External"/><Relationship Id="rId3" Type="http://schemas.openxmlformats.org/officeDocument/2006/relationships/hyperlink" Target="https://item.taobao.com/item.htm?from=cart&amp;id=562145367495&amp;mi_id=0000w9WWqige3zDtQ8sZci3pfSrLA-g_MWoEEzYr1RURzjo&amp;skuId=4843968313715&amp;spm=a1z0d.6639537%2F202410.item.d562145367495.3b787484UpXFAU&amp;upStreamPrice=1089" TargetMode="External"/><Relationship Id="rId7" Type="http://schemas.openxmlformats.org/officeDocument/2006/relationships/hyperlink" Target="https://item.taobao.com/item.htm?abbucket=10&amp;id=522579376259&amp;mi_id=0000vhsbTI0e7o27yKg1NV_JRrEO9jjlEKo0pTs2YASt9Ok&amp;ns=1&amp;priceTId=214784df17749543602033346e1359&amp;skuId=6139961763391&amp;spm=a21n57.1.hoverItem.2&amp;utparam=%7B%22aplus_abtest%22%3A%225b3999a20d242dd162290fc364d734eb%22%7D&amp;xxc=taobaoSearch" TargetMode="External"/><Relationship Id="rId12" Type="http://schemas.openxmlformats.org/officeDocument/2006/relationships/hyperlink" Target="https://item.taobao.com/item.htm?abbucket=10&amp;id=839562883473&amp;mi_id=0000YIo9E3LJjarq6u5vH6pL72QOgD5kp7tKR9ucC-Y4s_Y&amp;ns=1&amp;priceTId=2147829c17749578648435395e117a&amp;skuId=5605643049876&amp;spm=a21n57.1.hoverItem.2&amp;utparam=%7B%22aplus_abtest%22%3A%22850a1a7a5bed128dd9eb894021367c50%22%7D&amp;xxc=taobaoSearch" TargetMode="External"/><Relationship Id="rId2" Type="http://schemas.openxmlformats.org/officeDocument/2006/relationships/hyperlink" Target="https://item.taobao.com/item.htm?from=cart&amp;id=40511001950&amp;mi_id=0000lqT9Fii61Qo6eEe9XBgf_PRCtxXKmLYiMBX17OADeJk&amp;skuId=5334311157373&amp;spm=a1z0d.6639537%2F202410.item.d40511001950.3b787484H8Zzz5&amp;upStreamPrice=740" TargetMode="External"/><Relationship Id="rId1" Type="http://schemas.openxmlformats.org/officeDocument/2006/relationships/hyperlink" Target="https://item.taobao.com/item.htm?abbucket=10&amp;id=620064088112&amp;mi_id=0000moTDEEXN3mUVy09EuNHjXQAJJX9qLr0QPpirAPhv3Is&amp;ns=1&amp;priceTId=213e079817749532474504430e1380&amp;skuId=5288578994316&amp;spm=a21n57.1.hoverItem.2&amp;utparam=%7B%22aplus_abtest%22%3A%227ea4b001224627425db100eb0aef8f43%22%7D&amp;xxc=taobaoSearch" TargetMode="External"/><Relationship Id="rId6" Type="http://schemas.openxmlformats.org/officeDocument/2006/relationships/hyperlink" Target="https://detail.tmall.com/item.htm?ali_refid=a3_430582_1006%3A2692409418%3AH%3Aqb4O%2BSy43Jxwr8kbMY1C1g%3D%3D%3Afdabdb0420b7b5240539dc736884b509&amp;ali_trackid=318_fdabdb0420b7b5240539dc736884b509&amp;id=972137046228&amp;mi_id=0000STl7H7xkv38K1FUU0tLxH2nUdzvAJOSx7DrtOCCOWTU&amp;mm_sceneid=0_0_9697686392_0&amp;priceTId=214784df17749540839543402e1359&amp;skuId=5923059484108&amp;spm=a21n57.1.hoverItem.1&amp;utparam=%7B%22aplus_abtest%22%3A%22c44c3a2faf055954707bfd9cf0b811cf%22%7D&amp;xxc=ad_ztc" TargetMode="External"/><Relationship Id="rId11" Type="http://schemas.openxmlformats.org/officeDocument/2006/relationships/hyperlink" Target="https://detail.tmall.com/item.htm?abbucket=10&amp;id=14525748552&amp;mi_id=0000cIqmZPW3UhO2SgSu4SvQhR4gtTfCvQ1cIE46pQlXhqo&amp;ns=1&amp;priceTId=2147829c17749576480362730e117a&amp;skuId=5008703721553&amp;spm=a21n57.1.hoverItem.2&amp;utparam=%7B%22aplus_abtest%22%3A%2299d44fa87bb15f54135e8b4a698221c2%22%7D&amp;xxc=taobaoSearch" TargetMode="External"/><Relationship Id="rId5" Type="http://schemas.openxmlformats.org/officeDocument/2006/relationships/hyperlink" Target="https://detail.tmall.com/item.htm?abbucket=10&amp;id=15876519188&amp;mi_id=0000m4iRCMNAj-rIETllq8K2WV8rmAlS69y9_xKHpgCLmFY&amp;ns=1&amp;priceTId=214784df17749540124476872e1359&amp;skuId=4166613897106&amp;spm=a21n57.1.hoverItem.5&amp;utparam=%7B%22aplus_abtest%22%3A%22cfc16d6c2442923846b9de157cf3a42b%22%7D&amp;xxc=taobaoSearch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detail.tmall.com/item.htm?from=cart&amp;id=41161779230&amp;mi_id=0000XxJnEJRGSGUseKLxYjeiVF7xUBeJ8R5l7jTKq7G_ccM&amp;skuId=4021392105899&amp;spm=a1z0d.6639537%2F202410.item.d41161779230.504b7484QfvY48&amp;upStreamPrice=963" TargetMode="External"/><Relationship Id="rId4" Type="http://schemas.openxmlformats.org/officeDocument/2006/relationships/hyperlink" Target="https://item.taobao.com/item.htm?from=cart&amp;id=522572589576&amp;mi_id=00002-C7pr5Tj0gskJ_a7lmk-4hrl1pnxbulsdBpVXrj6M0&amp;spm=a1z0d.6639537%2F202410.item.d522572589576.23d77484QG8HZB&amp;upStreamPrice=176" TargetMode="External"/><Relationship Id="rId9" Type="http://schemas.openxmlformats.org/officeDocument/2006/relationships/hyperlink" Target="https://detail.tmall.com/item.htm?from=cart&amp;id=600229654865&amp;mi_id=0000awxNcbqtORAiX-udAqT441OPeEO62NeRG2aqpHXucaI&amp;skuId=4516209870637&amp;spm=a1z0d.6639537%2F202410.item.d600229654865.3b7874846Y32bo&amp;upStreamPrice=680" TargetMode="External"/><Relationship Id="rId14" Type="http://schemas.openxmlformats.org/officeDocument/2006/relationships/hyperlink" Target="https://item.taobao.com/item.htm?abbucket=10&amp;id=561411160733&amp;mi_id=0000m6M57ZKam0CkM12JnWzo8G-6PlgVYWz0O1f4Xcq1aPc&amp;ns=1&amp;priceTId=2147822117750064375451056e102d&amp;skuId=6026493241058&amp;spm=a21n57.1.hoverItem.2&amp;utparam=%7B%22aplus_abtest%22%3A%226cfefea5938482214310840d59d8d09c%22%7D&amp;xxc=taobao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zoomScaleNormal="100" workbookViewId="0">
      <selection activeCell="A16" sqref="A16:XFD17"/>
    </sheetView>
  </sheetViews>
  <sheetFormatPr defaultColWidth="10" defaultRowHeight="13.5"/>
  <cols>
    <col min="1" max="1" width="5.875" bestFit="1" customWidth="1"/>
    <col min="2" max="2" width="8.125" customWidth="1"/>
    <col min="3" max="3" width="6" customWidth="1"/>
    <col min="4" max="4" width="13.875" customWidth="1"/>
    <col min="5" max="5" width="14.125" customWidth="1"/>
    <col min="6" max="6" width="15.25" customWidth="1"/>
    <col min="7" max="7" width="14.75" customWidth="1"/>
    <col min="8" max="8" width="14.625" customWidth="1"/>
    <col min="9" max="9" width="14.5" customWidth="1"/>
    <col min="10" max="10" width="14.125" customWidth="1"/>
    <col min="11" max="11" width="18.25" customWidth="1"/>
    <col min="12" max="12" width="7.75" bestFit="1" customWidth="1"/>
    <col min="13" max="13" width="6.25" bestFit="1" customWidth="1"/>
    <col min="14" max="14" width="9.5" bestFit="1" customWidth="1"/>
    <col min="15" max="15" width="40.75" customWidth="1"/>
  </cols>
  <sheetData>
    <row r="1" spans="1:17" ht="20.25">
      <c r="A1" s="9" t="s">
        <v>12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7" ht="27.75" customHeight="1">
      <c r="A2" s="11" t="s">
        <v>0</v>
      </c>
      <c r="B2" s="11"/>
      <c r="C2" s="11"/>
      <c r="D2" s="11" t="s">
        <v>1</v>
      </c>
      <c r="E2" s="11"/>
      <c r="F2" s="11"/>
      <c r="G2" s="11"/>
      <c r="H2" s="11"/>
      <c r="I2" s="11"/>
      <c r="J2" s="11"/>
      <c r="K2" s="11"/>
      <c r="L2" s="1" t="s">
        <v>2</v>
      </c>
      <c r="M2" s="2" t="s">
        <v>3</v>
      </c>
      <c r="N2" s="2" t="s">
        <v>4</v>
      </c>
      <c r="O2" s="2" t="s">
        <v>5</v>
      </c>
    </row>
    <row r="3" spans="1:17" ht="26.25" customHeight="1">
      <c r="A3" s="12" t="s">
        <v>7</v>
      </c>
      <c r="B3" s="12"/>
      <c r="C3" s="12"/>
      <c r="D3" s="13" t="s">
        <v>13</v>
      </c>
      <c r="E3" s="11"/>
      <c r="F3" s="11"/>
      <c r="G3" s="11"/>
      <c r="H3" s="11"/>
      <c r="I3" s="11"/>
      <c r="J3" s="11"/>
      <c r="K3" s="11"/>
      <c r="L3" s="3">
        <v>12.1</v>
      </c>
      <c r="M3" s="3">
        <v>1</v>
      </c>
      <c r="N3" s="3">
        <f>L3</f>
        <v>12.1</v>
      </c>
      <c r="O3" s="3" t="s">
        <v>7</v>
      </c>
      <c r="P3" s="3"/>
      <c r="Q3" s="3"/>
    </row>
    <row r="4" spans="1:17" ht="26.25" customHeight="1">
      <c r="A4" s="12" t="s">
        <v>25</v>
      </c>
      <c r="B4" s="12"/>
      <c r="C4" s="12"/>
      <c r="D4" s="13" t="s">
        <v>24</v>
      </c>
      <c r="E4" s="13"/>
      <c r="F4" s="13"/>
      <c r="G4" s="13"/>
      <c r="H4" s="13"/>
      <c r="I4" s="13"/>
      <c r="J4" s="13"/>
      <c r="K4" s="13"/>
      <c r="L4" s="3">
        <v>7.3</v>
      </c>
      <c r="M4" s="3">
        <v>1</v>
      </c>
      <c r="N4" s="3">
        <v>7.3</v>
      </c>
      <c r="O4" s="3" t="s">
        <v>25</v>
      </c>
      <c r="P4" s="3"/>
      <c r="Q4" s="3"/>
    </row>
    <row r="5" spans="1:17" ht="26.25" customHeight="1">
      <c r="A5" s="12" t="s">
        <v>26</v>
      </c>
      <c r="B5" s="12"/>
      <c r="C5" s="12"/>
      <c r="D5" s="13" t="s">
        <v>27</v>
      </c>
      <c r="E5" s="13"/>
      <c r="F5" s="13"/>
      <c r="G5" s="13"/>
      <c r="H5" s="13"/>
      <c r="I5" s="13"/>
      <c r="J5" s="13"/>
      <c r="K5" s="13"/>
      <c r="L5" s="3">
        <v>5.9</v>
      </c>
      <c r="M5" s="3">
        <v>1</v>
      </c>
      <c r="N5" s="3">
        <v>5.9</v>
      </c>
      <c r="O5" s="3" t="s">
        <v>26</v>
      </c>
      <c r="P5" s="3"/>
      <c r="Q5" s="3"/>
    </row>
    <row r="6" spans="1:17" ht="26.25" customHeight="1">
      <c r="A6" s="12" t="s">
        <v>28</v>
      </c>
      <c r="B6" s="12"/>
      <c r="C6" s="12"/>
      <c r="D6" s="13" t="s">
        <v>29</v>
      </c>
      <c r="E6" s="13"/>
      <c r="F6" s="13"/>
      <c r="G6" s="13"/>
      <c r="H6" s="13"/>
      <c r="I6" s="13"/>
      <c r="J6" s="13"/>
      <c r="K6" s="13"/>
      <c r="L6" s="3">
        <v>12.14</v>
      </c>
      <c r="M6" s="3">
        <v>1</v>
      </c>
      <c r="N6" s="3">
        <v>12.14</v>
      </c>
      <c r="O6" s="3" t="s">
        <v>28</v>
      </c>
      <c r="P6" s="3"/>
      <c r="Q6" s="3"/>
    </row>
    <row r="7" spans="1:17" ht="24.75" customHeight="1">
      <c r="A7" s="15" t="s">
        <v>8</v>
      </c>
      <c r="B7" s="6"/>
      <c r="C7" s="6"/>
      <c r="D7" s="7" t="s">
        <v>15</v>
      </c>
      <c r="E7" s="8"/>
      <c r="F7" s="8"/>
      <c r="G7" s="8"/>
      <c r="H7" s="8"/>
      <c r="I7" s="8"/>
      <c r="J7" s="8"/>
      <c r="K7" s="8"/>
      <c r="L7" s="3">
        <v>12.35</v>
      </c>
      <c r="M7" s="3">
        <v>1</v>
      </c>
      <c r="N7" s="3">
        <f t="shared" ref="N7:N12" si="0">L7</f>
        <v>12.35</v>
      </c>
      <c r="O7" s="3" t="str">
        <f>A7</f>
        <v>0.96寸OLED</v>
      </c>
      <c r="P7" s="3"/>
      <c r="Q7" s="3"/>
    </row>
    <row r="8" spans="1:17" ht="24.75" customHeight="1">
      <c r="A8" s="6" t="s">
        <v>9</v>
      </c>
      <c r="B8" s="6"/>
      <c r="C8" s="6"/>
      <c r="D8" s="7" t="s">
        <v>14</v>
      </c>
      <c r="E8" s="8"/>
      <c r="F8" s="8"/>
      <c r="G8" s="8"/>
      <c r="H8" s="8"/>
      <c r="I8" s="8"/>
      <c r="J8" s="8"/>
      <c r="K8" s="8"/>
      <c r="L8" s="3">
        <v>11.1</v>
      </c>
      <c r="M8" s="3">
        <v>1</v>
      </c>
      <c r="N8" s="3">
        <f t="shared" si="0"/>
        <v>11.1</v>
      </c>
      <c r="O8" s="3" t="str">
        <f>A8</f>
        <v>ESP8266-01S</v>
      </c>
      <c r="P8" s="3"/>
      <c r="Q8" s="3"/>
    </row>
    <row r="9" spans="1:17" ht="24.75" customHeight="1">
      <c r="A9" s="6" t="s">
        <v>30</v>
      </c>
      <c r="B9" s="6"/>
      <c r="C9" s="6"/>
      <c r="D9" s="7" t="s">
        <v>31</v>
      </c>
      <c r="E9" s="7"/>
      <c r="F9" s="7"/>
      <c r="G9" s="7"/>
      <c r="H9" s="7"/>
      <c r="I9" s="7"/>
      <c r="J9" s="7"/>
      <c r="K9" s="7"/>
      <c r="L9" s="3">
        <v>3.6</v>
      </c>
      <c r="M9" s="3">
        <v>1</v>
      </c>
      <c r="N9" s="3">
        <v>3.6</v>
      </c>
      <c r="O9" s="3" t="str">
        <f>A9</f>
        <v>LED</v>
      </c>
      <c r="P9" s="3"/>
      <c r="Q9" s="3"/>
    </row>
    <row r="10" spans="1:17" ht="24.75" customHeight="1">
      <c r="A10" s="6" t="s">
        <v>32</v>
      </c>
      <c r="B10" s="6"/>
      <c r="C10" s="6"/>
      <c r="D10" s="7" t="s">
        <v>33</v>
      </c>
      <c r="E10" s="7"/>
      <c r="F10" s="7"/>
      <c r="G10" s="7"/>
      <c r="H10" s="7"/>
      <c r="I10" s="7"/>
      <c r="J10" s="7"/>
      <c r="K10" s="7"/>
      <c r="L10" s="3">
        <v>3.6</v>
      </c>
      <c r="M10" s="3">
        <v>1</v>
      </c>
      <c r="N10" s="3">
        <v>3.6</v>
      </c>
      <c r="O10" s="3" t="str">
        <f>A10</f>
        <v>限流电阻</v>
      </c>
      <c r="P10" s="3"/>
      <c r="Q10" s="3"/>
    </row>
    <row r="11" spans="1:17" ht="24.75" customHeight="1">
      <c r="A11" s="6" t="s">
        <v>16</v>
      </c>
      <c r="B11" s="6"/>
      <c r="C11" s="6"/>
      <c r="D11" s="7" t="s">
        <v>19</v>
      </c>
      <c r="E11" s="7"/>
      <c r="F11" s="7"/>
      <c r="G11" s="7"/>
      <c r="H11" s="7"/>
      <c r="I11" s="7"/>
      <c r="J11" s="7"/>
      <c r="K11" s="7"/>
      <c r="L11" s="3">
        <v>3.26</v>
      </c>
      <c r="M11" s="3">
        <v>1</v>
      </c>
      <c r="N11" s="3">
        <f t="shared" si="0"/>
        <v>3.26</v>
      </c>
      <c r="O11" s="3" t="str">
        <f t="shared" ref="O11:O15" si="1">A11</f>
        <v>蜂鸣器</v>
      </c>
      <c r="P11" s="3"/>
      <c r="Q11" s="3"/>
    </row>
    <row r="12" spans="1:17" ht="24.75" customHeight="1">
      <c r="A12" s="6" t="s">
        <v>17</v>
      </c>
      <c r="B12" s="6"/>
      <c r="C12" s="6"/>
      <c r="D12" s="7" t="s">
        <v>20</v>
      </c>
      <c r="E12" s="8"/>
      <c r="F12" s="8"/>
      <c r="G12" s="8"/>
      <c r="H12" s="8"/>
      <c r="I12" s="8"/>
      <c r="J12" s="8"/>
      <c r="K12" s="8"/>
      <c r="L12" s="3">
        <v>3.57</v>
      </c>
      <c r="M12" s="3">
        <v>1</v>
      </c>
      <c r="N12" s="3">
        <f t="shared" si="0"/>
        <v>3.57</v>
      </c>
      <c r="O12" s="3" t="str">
        <f t="shared" si="1"/>
        <v>按键</v>
      </c>
      <c r="P12" s="3"/>
      <c r="Q12" s="3"/>
    </row>
    <row r="13" spans="1:17" ht="24.75" customHeight="1">
      <c r="A13" s="6" t="s">
        <v>18</v>
      </c>
      <c r="B13" s="6"/>
      <c r="C13" s="6"/>
      <c r="D13" s="7" t="s">
        <v>21</v>
      </c>
      <c r="E13" s="8"/>
      <c r="F13" s="8"/>
      <c r="G13" s="8"/>
      <c r="H13" s="8"/>
      <c r="I13" s="8"/>
      <c r="J13" s="8"/>
      <c r="K13" s="8"/>
      <c r="L13" s="3">
        <v>12.9</v>
      </c>
      <c r="M13" s="3">
        <v>1</v>
      </c>
      <c r="N13" s="3">
        <f>L13</f>
        <v>12.9</v>
      </c>
      <c r="O13" s="3" t="str">
        <f t="shared" si="1"/>
        <v>锡丝</v>
      </c>
      <c r="P13" s="3"/>
      <c r="Q13" s="3"/>
    </row>
    <row r="14" spans="1:17" ht="24.75" customHeight="1">
      <c r="A14" s="6" t="s">
        <v>10</v>
      </c>
      <c r="B14" s="6"/>
      <c r="C14" s="6"/>
      <c r="D14" s="7" t="s">
        <v>22</v>
      </c>
      <c r="E14" s="8"/>
      <c r="F14" s="8"/>
      <c r="G14" s="8"/>
      <c r="H14" s="8"/>
      <c r="I14" s="8"/>
      <c r="J14" s="8"/>
      <c r="K14" s="8"/>
      <c r="L14" s="3">
        <v>4</v>
      </c>
      <c r="M14" s="3">
        <v>1</v>
      </c>
      <c r="N14" s="3">
        <f>L14</f>
        <v>4</v>
      </c>
      <c r="O14" s="3" t="str">
        <f t="shared" si="1"/>
        <v>排母</v>
      </c>
      <c r="P14" s="3"/>
      <c r="Q14" s="3"/>
    </row>
    <row r="15" spans="1:17" ht="24.75" customHeight="1">
      <c r="A15" s="6" t="s">
        <v>11</v>
      </c>
      <c r="B15" s="6"/>
      <c r="C15" s="6"/>
      <c r="D15" s="7" t="s">
        <v>23</v>
      </c>
      <c r="E15" s="7"/>
      <c r="F15" s="7"/>
      <c r="G15" s="7"/>
      <c r="H15" s="7"/>
      <c r="I15" s="7"/>
      <c r="J15" s="7"/>
      <c r="K15" s="7"/>
      <c r="L15" s="3">
        <v>12</v>
      </c>
      <c r="M15" s="3">
        <v>1</v>
      </c>
      <c r="N15" s="3">
        <f>L15</f>
        <v>12</v>
      </c>
      <c r="O15" s="3" t="str">
        <f t="shared" si="1"/>
        <v>CMSIS DAP/DAPLink仿真器</v>
      </c>
    </row>
    <row r="16" spans="1:17" ht="24.75" customHeight="1">
      <c r="A16" s="6" t="s">
        <v>35</v>
      </c>
      <c r="B16" s="6"/>
      <c r="C16" s="6"/>
      <c r="D16" s="7" t="s">
        <v>34</v>
      </c>
      <c r="E16" s="8"/>
      <c r="F16" s="8"/>
      <c r="G16" s="8"/>
      <c r="H16" s="8"/>
      <c r="I16" s="8"/>
      <c r="J16" s="8"/>
      <c r="K16" s="8"/>
      <c r="L16" s="3">
        <v>4.84</v>
      </c>
      <c r="M16" s="3">
        <v>2</v>
      </c>
      <c r="N16" s="3">
        <f>L16*M16</f>
        <v>9.68</v>
      </c>
      <c r="O16" s="3" t="s">
        <v>36</v>
      </c>
    </row>
    <row r="17" spans="1:15" ht="24.75" customHeight="1">
      <c r="A17" s="6" t="s">
        <v>37</v>
      </c>
      <c r="B17" s="6"/>
      <c r="C17" s="6"/>
      <c r="D17" s="7" t="s">
        <v>38</v>
      </c>
      <c r="E17" s="8"/>
      <c r="F17" s="8"/>
      <c r="G17" s="8"/>
      <c r="H17" s="8"/>
      <c r="I17" s="8"/>
      <c r="J17" s="8"/>
      <c r="K17" s="8"/>
      <c r="L17" s="3">
        <v>11.4</v>
      </c>
      <c r="M17" s="3">
        <v>1</v>
      </c>
      <c r="N17" s="3">
        <f>L17*M17</f>
        <v>11.4</v>
      </c>
      <c r="O17" s="3" t="s">
        <v>39</v>
      </c>
    </row>
    <row r="18" spans="1:15" ht="23.25" customHeight="1">
      <c r="A18" s="5" t="s">
        <v>6</v>
      </c>
      <c r="B18" s="14">
        <f>SUM(N3:N17)</f>
        <v>124.9</v>
      </c>
      <c r="C18" s="14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21" spans="1:15" ht="14.1" customHeight="1">
      <c r="H21" s="4"/>
    </row>
  </sheetData>
  <mergeCells count="34">
    <mergeCell ref="A9:C9"/>
    <mergeCell ref="D9:K9"/>
    <mergeCell ref="A6:C6"/>
    <mergeCell ref="D6:K6"/>
    <mergeCell ref="A5:C5"/>
    <mergeCell ref="D5:K5"/>
    <mergeCell ref="D8:K8"/>
    <mergeCell ref="A4:C4"/>
    <mergeCell ref="D4:K4"/>
    <mergeCell ref="B18:C18"/>
    <mergeCell ref="A17:C17"/>
    <mergeCell ref="D17:K17"/>
    <mergeCell ref="A14:C14"/>
    <mergeCell ref="D14:K14"/>
    <mergeCell ref="A15:C15"/>
    <mergeCell ref="D15:K15"/>
    <mergeCell ref="A13:C13"/>
    <mergeCell ref="D13:K13"/>
    <mergeCell ref="A7:C7"/>
    <mergeCell ref="D7:K7"/>
    <mergeCell ref="D12:K12"/>
    <mergeCell ref="A12:C12"/>
    <mergeCell ref="A8:C8"/>
    <mergeCell ref="A1:O1"/>
    <mergeCell ref="D2:K2"/>
    <mergeCell ref="A2:C2"/>
    <mergeCell ref="A3:C3"/>
    <mergeCell ref="D3:K3"/>
    <mergeCell ref="A11:C11"/>
    <mergeCell ref="D11:K11"/>
    <mergeCell ref="A10:C10"/>
    <mergeCell ref="D10:K10"/>
    <mergeCell ref="A16:C16"/>
    <mergeCell ref="D16:K16"/>
  </mergeCells>
  <phoneticPr fontId="8" type="noConversion"/>
  <hyperlinks>
    <hyperlink ref="D3" r:id="rId1" display="https://item.taobao.com/item.htm?abbucket=10&amp;id=620064088112&amp;mi_id=0000moTDEEXN3mUVy09EuNHjXQAJJX9qLr0QPpirAPhv3Is&amp;ns=1&amp;priceTId=213e079817749532474504430e1380&amp;skuId=5288578994316&amp;spm=a21n57.1.hoverItem.2&amp;utparam=%7B%22aplus_abtest%22%3A%227ea4b001224627425db100eb0aef8f43%22%7D&amp;xxc=taobaoSearch" xr:uid="{ADDAD535-D337-4FFD-9D96-E71668258876}"/>
    <hyperlink ref="D8" r:id="rId2" xr:uid="{4BE6A56D-A15F-4709-9442-C5C551560427}"/>
    <hyperlink ref="D7" r:id="rId3" xr:uid="{7B7E3558-F859-4855-81F1-04FC30972742}"/>
    <hyperlink ref="D11" r:id="rId4" xr:uid="{EF414EDB-2AE5-4BA0-B647-7A9AA9B5026E}"/>
    <hyperlink ref="D12" r:id="rId5" display="https://detail.tmall.com/item.htm?abbucket=10&amp;id=15876519188&amp;mi_id=0000m4iRCMNAj-rIETllq8K2WV8rmAlS69y9_xKHpgCLmFY&amp;ns=1&amp;priceTId=214784df17749540124476872e1359&amp;skuId=4166613897106&amp;spm=a21n57.1.hoverItem.5&amp;utparam=%7B%22aplus_abtest%22%3A%22cfc16d6c2442923846b9de157cf3a42b%22%7D&amp;xxc=taobaoSearch" xr:uid="{1684B95C-C835-44D8-AB81-FDA5025FBF86}"/>
    <hyperlink ref="D13" r:id="rId6" display="https://detail.tmall.com/item.htm?ali_refid=a3_430582_1006%3A2692409418%3AH%3Aqb4O%2BSy43Jxwr8kbMY1C1g%3D%3D%3Afdabdb0420b7b5240539dc736884b509&amp;ali_trackid=318_fdabdb0420b7b5240539dc736884b509&amp;id=972137046228&amp;mi_id=0000STl7H7xkv38K1FUU0tLxH2nUdzvAJOSx7DrtOCCOWTU&amp;mm_sceneid=0_0_9697686392_0&amp;priceTId=214784df17749540839543402e1359&amp;skuId=5923059484108&amp;spm=a21n57.1.hoverItem.1&amp;utparam=%7B%22aplus_abtest%22%3A%22c44c3a2faf055954707bfd9cf0b811cf%22%7D&amp;xxc=ad_ztc" xr:uid="{51B174F5-6BB2-4279-AB76-F1BD180812B4}"/>
    <hyperlink ref="D14" r:id="rId7" display="https://item.taobao.com/item.htm?abbucket=10&amp;id=522579376259&amp;mi_id=0000vhsbTI0e7o27yKg1NV_JRrEO9jjlEKo0pTs2YASt9Ok&amp;ns=1&amp;priceTId=214784df17749543602033346e1359&amp;skuId=6139961763391&amp;spm=a21n57.1.hoverItem.2&amp;utparam=%7B%22aplus_abtest%22%3A%225b3999a20d242dd162290fc364d734eb%22%7D&amp;xxc=taobaoSearch" xr:uid="{977B3394-74E9-4C28-9A7A-2D78E2EF1D61}"/>
    <hyperlink ref="D15" r:id="rId8" display="https://detail.tmall.com/item.htm?abbucket=10&amp;id=737445554076&amp;mi_id=0000LppKJnSkW195VnqPIXWKCp2DrxUQpeGg4SWt3OsMnr8&amp;ns=1&amp;priceTId=2147842f17749548316768086e106c&amp;skuId=5852561164058&amp;spm=a21n57.1.hoverItem.2&amp;utparam=%7B%22aplus_abtest%22%3A%224d50f8509ef0b0b1867b2724b14882e2%22%7D&amp;xxc=taobaoSearch" xr:uid="{1B64C26C-582D-45EA-A75F-908C15971821}"/>
    <hyperlink ref="D4" r:id="rId9" xr:uid="{900C5D0F-CA11-4FCD-A4E8-563B5FFDDCD7}"/>
    <hyperlink ref="D6" r:id="rId10" xr:uid="{9168BF17-BB8A-4A96-A4E9-99136A065B51}"/>
    <hyperlink ref="D9" r:id="rId11" display="https://detail.tmall.com/item.htm?abbucket=10&amp;id=14525748552&amp;mi_id=0000cIqmZPW3UhO2SgSu4SvQhR4gtTfCvQ1cIE46pQlXhqo&amp;ns=1&amp;priceTId=2147829c17749576480362730e117a&amp;skuId=5008703721553&amp;spm=a21n57.1.hoverItem.2&amp;utparam=%7B%22aplus_abtest%22%3A%2299d44fa87bb15f54135e8b4a698221c2%22%7D&amp;xxc=taobaoSearch" xr:uid="{2FD1D900-38D5-4811-BDAF-C07B4FBC0B5A}"/>
    <hyperlink ref="D10" r:id="rId12" display="https://item.taobao.com/item.htm?abbucket=10&amp;id=839562883473&amp;mi_id=0000YIo9E3LJjarq6u5vH6pL72QOgD5kp7tKR9ucC-Y4s_Y&amp;ns=1&amp;priceTId=2147829c17749578648435395e117a&amp;skuId=5605643049876&amp;spm=a21n57.1.hoverItem.2&amp;utparam=%7B%22aplus_abtest%22%3A%22850a1a7a5bed128dd9eb894021367c50%22%7D&amp;xxc=taobaoSearch" xr:uid="{136DE211-019D-42C5-BDCB-93B1336CE530}"/>
    <hyperlink ref="D16" r:id="rId13" xr:uid="{4B0A62AB-9331-4CBE-A77A-2EF1ADF3DCC6}"/>
    <hyperlink ref="D17" r:id="rId14" display="https://item.taobao.com/item.htm?abbucket=10&amp;id=561411160733&amp;mi_id=0000m6M57ZKam0CkM12JnWzo8G-6PlgVYWz0O1f4Xcq1aPc&amp;ns=1&amp;priceTId=2147822117750064375451056e102d&amp;skuId=6026493241058&amp;spm=a21n57.1.hoverItem.2&amp;utparam=%7B%22aplus_abtest%22%3A%226cfefea5938482214310840d59d8d09c%22%7D&amp;xxc=taobaoSearch" xr:uid="{F07D8BD1-582C-453C-8979-13C626558AA4}"/>
  </hyperlinks>
  <pageMargins left="0.75" right="0.75" top="1" bottom="1" header="0.51180555555555596" footer="0.51180555555555596"/>
  <pageSetup paperSize="9" orientation="portrait"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130" workbookViewId="0"/>
  </sheetViews>
  <sheetFormatPr defaultColWidth="10" defaultRowHeight="13.5"/>
  <sheetData/>
  <phoneticPr fontId="8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130" workbookViewId="0"/>
  </sheetViews>
  <sheetFormatPr defaultColWidth="10" defaultRowHeight="13.5"/>
  <sheetData/>
  <phoneticPr fontId="8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不二</dc:creator>
  <cp:lastModifiedBy>dong He</cp:lastModifiedBy>
  <dcterms:created xsi:type="dcterms:W3CDTF">2024-01-09T21:26:37Z</dcterms:created>
  <dcterms:modified xsi:type="dcterms:W3CDTF">2026-04-01T01:27:52Z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9acb55dc3d3041b1b9ea411ad43e7201_23</vt:lpwstr>
  </property>
  <property fmtid="{D5CDD505-2E9C-101B-9397-08002B2CF9AE}" pid="4" name="KSOProductBuildVer">
    <vt:lpwstr>2052-12.7.0</vt:lpwstr>
  </property>
</Properties>
</file>