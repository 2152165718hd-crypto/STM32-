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sktop\4.1\"/>
    </mc:Choice>
  </mc:AlternateContent>
  <xr:revisionPtr revIDLastSave="0" documentId="13_ncr:1_{F7A88055-E76D-4A8F-B1C1-E078E66045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<sst xmlns="http://schemas.openxmlformats.org/spreadsheetml/2006/main" count="54" uniqueCount="51">
  <si>
    <t>型号</t>
  </si>
  <si>
    <t>链接</t>
  </si>
  <si>
    <t>单价</t>
  </si>
  <si>
    <t>数量</t>
  </si>
  <si>
    <t>单价总价</t>
  </si>
  <si>
    <t>备注</t>
  </si>
  <si>
    <t>STM32F103C8T6开发板</t>
  </si>
  <si>
    <t>https://item.taobao.com/item.htm?ali_refid=a3_mm_12852562_1778064_115782250121%3A1121464922%3AH%3ACuqWaG9bmUYoTlT303GNf0r%2F%2Fymqmw0Erxow4qUDZaA%3D%3A003076e0c600097a192c8455c2bf85bc&amp;ali_trackid=318_003076e0c600097a192c8455c2bf85bc&amp;id=946102518580&amp;mi_id=0000V6jo3B_r8oipY_EoJpPquhoPFfNTL1Ymw6O1XEngrxM&amp;mm_sceneid=0_0_111680763_0&amp;priceTId=214783fb17705411481326519e12a0&amp;skuId=5854281617653&amp;spm=a21n57.1.hoverItem.1&amp;utparam=%7B%22aplus_abtest%22%3A%2261eb792559f889a89676f4530ccf5ad1%22%7D&amp;xxc=ad_ztc</t>
  </si>
  <si>
    <t>DC01灰尘传感器</t>
  </si>
  <si>
    <t>https://item.taobao.com/item.htm?abbucket=1&amp;id=763145370767&amp;mi_id=0000pFQyst3lloxFBPS50BtTcRpgvrk8oVG6CPgywRPGAl4&amp;ns=1&amp;priceTId=213e071d17749532093785454e131c&amp;skuId=5427207879610&amp;spm=a21n57.1.hoverItem.1&amp;utparam=%7B%22aplus_abtest%22%3A%22b754cef8685d11a6704f11e532aefa30%22%7D&amp;xxc=taobaoSearch</t>
  </si>
  <si>
    <t>DS18B20温度传感器</t>
  </si>
  <si>
    <t>水位传感器</t>
  </si>
  <si>
    <t>https://detail.tmall.com/item.htm?from=cart&amp;id=42779708216&amp;mi_id=00002DtXYyiPNYKMO5Vc9dwY-29NBh2ntYURI8jeqTdzvc4&amp;spm=a1z0d.6639537%2F202410.item.d42779708216.1ee87484N8YueE&amp;upStreamPrice=198</t>
  </si>
  <si>
    <t>光敏电阻</t>
  </si>
  <si>
    <t>TB6612电机驱动</t>
  </si>
  <si>
    <t>https://item.taobao.com/item.htm?abbucket=1&amp;id=962889065158&amp;mi_id=0000LC0SHcC3zxsDT7Qy1evKTs152wF_irZNyEukknOo4Xs&amp;ns=1&amp;priceTId=2150440e17749562352522018e1123&amp;skuId=5897309768565&amp;spm=a21n57.1.hoverItem.13&amp;utparam=%7B%22aplus_abtest%22%3A%22ae9c5f4bfe76751c7d8f216c4a44a66c%22%7D&amp;xxc=taobaoSearch</t>
  </si>
  <si>
    <t>雨滴传感器模块</t>
  </si>
  <si>
    <t>毛刷模块</t>
  </si>
  <si>
    <t>https://detail.tmall.com/item.htm?from=cart&amp;id=41310780866&amp;mi_id=0000b-tStR6HvJKSzLloVU0TcMKhj5EpMAWsLC9bbfs_EMQ&amp;skuId=4922004553790&amp;spm=a1z0d.6639537%2F202410.item.d41310780866.723274845h1wnm&amp;upStreamPrice=259</t>
  </si>
  <si>
    <t>ESP8266-01S</t>
  </si>
  <si>
    <t>喷水模块</t>
  </si>
  <si>
    <t>https://detail.tmall.com/item.htm?abbucket=1&amp;id=901455388975&amp;mi_id=0000OhlIUQcZZnVYqbeGFSM-XYAKfvI_vkYUibu_xSo0h18&amp;ns=1&amp;priceTId=214783a717749573296853597e11c6&amp;skuId=5763516341354&amp;spm=a21n57.1.hoverItem.6&amp;utparam=%7B%22aplus_abtest%22%3A%22ab04128194ffd44d658fb3cd69422a47%22%7D&amp;xxc=taobaoSearch</t>
  </si>
  <si>
    <t>6路继电器模块</t>
  </si>
  <si>
    <t>风扇模块</t>
  </si>
  <si>
    <t>https://item.taobao.com/item.htm?abbucket=1&amp;id=559118049812&amp;mi_id=00009aiIbuCi4fSrKKewTTimz5LCvZZr3gW428HXEZxQMf8&amp;ns=1&amp;priceTId=2147838117749552808884309e1012&amp;skuId=3992087230342&amp;spm=a21n57.1.hoverItem.2&amp;utparam=%7B%22aplus_abtest%22%3A%22994d012a732fe5e53d15633818a0dc6c%22%7D&amp;xxc=taobaoSearch</t>
  </si>
  <si>
    <t>tb6612电机驱动板</t>
  </si>
  <si>
    <t>0.96寸OLED显示屏</t>
  </si>
  <si>
    <t>https://item.taobao.com/item.htm?abbucket=1&amp;id=562145367495&amp;mi_id=0000FE8ccMmy7yLiV9SD1novjaVcrv6ivkzWGYt3C_-2GbY&amp;ns=1&amp;priceTId=214783a717749576250551309e11c6&amp;skuId=4843968313711&amp;spm=a21n57.1.hoverItem.2&amp;utparam=%7B%22aplus_abtest%22%3A%229bb2e9a781103abd4604e346b58b047b%22%7D&amp;xxc=taobaoSearch</t>
  </si>
  <si>
    <t>SG90舵机</t>
  </si>
  <si>
    <t>蓝牙模块JDY31</t>
  </si>
  <si>
    <t>https://detail.tmall.com/item.htm?abbucket=1&amp;id=783054596102&amp;mi_id=0000AXsl7WPwj1FC-nWbGb9mwZO4Oq8ZcMD7gQZG7_pO_do&amp;ns=1&amp;priceTId=214783a717749578328755762e11c6&amp;skuId=5518709931835&amp;spm=a21n57.1.hoverItem.6&amp;utparam=%7B%22aplus_abtest%22%3A%22de70ab5523bc0cd495b625bfde0ba70c%22%7D&amp;xxc=taobaoSearch</t>
  </si>
  <si>
    <t>直流减速电机</t>
  </si>
  <si>
    <t>按键</t>
  </si>
  <si>
    <t>https://item.taobao.com/item.htm?id=909381113639&amp;mi_id=0000ZKm7fgI2m8Iyrg0NnA28avxt208xvfwr0ijwy2qz_nQ&amp;spm=tbpc.boughtlist.suborder_itemtitle.1.23042e8dFCK1Wy&amp;skuId=5769812572738</t>
  </si>
  <si>
    <t>开关</t>
  </si>
  <si>
    <t>https://item.taobao.com/item.htm?abbucket=1&amp;id=557846202031&amp;mi_id=0000X-hZZBsbzVfqkSrTEcMPc3iskXJwPXdotpcSr0PX-IE&amp;ns=1&amp;priceTId=214780e417749579366925134e141c&amp;skuId=5013157518178&amp;spm=a21n57.1.hoverItem.26&amp;utparam=%7B%22aplus_abtest%22%3A%22122d84a29c97e5e50ec88d1970eea339%22%7D&amp;xxc=taobaoSearch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</si>
  <si>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</si>
  <si>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</si>
  <si>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</si>
  <si>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</si>
  <si>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</si>
  <si>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锡丝</t>
  </si>
  <si>
    <t>https://detail.tmall.com/item.htm?abbucket=1&amp;id=946096037442&amp;mi_id=0000SahX11fgMfzXRXzbKL1ljSLpjN88QWLPZVY_kv9o0cM&amp;ns=1&amp;priceTId=214780e417749584469598676e141c&amp;skuId=5850879928022&amp;spm=a21n57.1.hoverItem.40&amp;utparam=%7B%22aplus_abtest%22%3A%22c6495b66071886e35454a19a86cf0272%22%7D&amp;xxc=taobaoSearch</t>
  </si>
  <si>
    <t>CMSIS DAP/DAPLink仿真器</t>
  </si>
  <si>
    <t>杜邦线</t>
  </si>
  <si>
    <t>https://detail.tmall.com/item.htm?from=cart&amp;id=41254478179&amp;mi_id=00004XSliXOND9AAtWETQZeRzdnb886TOCEYHHehIJV98KM&amp;skuId=5755030488368&amp;spm=a1z0d.6639537%2F202410.item.d41254478179.28077484ZB6hRm&amp;upStreamPrice=783</t>
  </si>
  <si>
    <t>PCB</t>
  </si>
  <si>
    <t>嘉立创PCB打板</t>
  </si>
  <si>
    <t>PCB打板</t>
  </si>
  <si>
    <t>总计</t>
  </si>
  <si>
    <t>基于STM32单片机智能黑板擦系统设计与实现采购清单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</si>
</sst>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name val="宋体"/>
      <charset val="134"/>
    </font>
    <font>
      <b/>
      <sz val="16"/>
      <name val="微软雅黑"/>
      <charset val="134"/>
    </font>
    <font>
      <b/>
      <sz val="16"/>
      <name val="serif"/>
      <charset val="134"/>
    </font>
    <font>
      <b/>
      <sz val="11"/>
      <color rgb="FF000000"/>
      <name val="serif"/>
      <charset val="134"/>
    </font>
    <font>
      <b/>
      <sz val="11"/>
      <name val="serif"/>
      <charset val="134"/>
    </font>
    <font>
      <sz val="10"/>
      <color rgb="FF000000"/>
      <name val="serif"/>
      <charset val="134"/>
    </font>
    <font>
      <u/>
      <sz val="11"/>
      <color theme="10"/>
      <name val="宋体"/>
      <charset val="134"/>
    </font>
    <font>
      <sz val="10"/>
      <name val="serif"/>
      <charset val="134"/>
    </font>
    <font>
      <u/>
      <sz val="11"/>
      <color rgb="FF800080"/>
      <name val="宋体"/>
      <charset val="134"/>
    </font>
    <font>
      <u/>
      <sz val="11"/>
      <color indexed="4"/>
      <name val="宋体"/>
      <charset val="134"/>
    </font>
    <font>
      <b/>
      <sz val="10"/>
      <name val="serif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6" fillId="0" borderId="0" xfId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 1">
    <tableStyle name="TableStylePreset3_Accent1 1" count="7" xr9:uid="{42DC6906-F9FD-4CE0-BF12-D420B1477D5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from=cart&amp;id=41310780866&amp;mi_id=0000b-tStR6HvJKSzLloVU0TcMKhj5EpMAWsLC9bbfs_EMQ&amp;skuId=4922004553790&amp;spm=a1z0d.6639537%2F202410.item.d41310780866.723274845h1wnm&amp;upStreamPrice=259" TargetMode="External"/><Relationship Id="rId13" Type="http://schemas.openxmlformats.org/officeDocument/2006/relationships/hyperlink" Target="https://detail.tmall.com/item.htm?abbucket=1&amp;id=946096037442&amp;mi_id=0000SahX11fgMfzXRXzbKL1ljSLpjN88QWLPZVY_kv9o0cM&amp;ns=1&amp;priceTId=214780e417749584469598676e141c&amp;skuId=5850879928022&amp;spm=a21n57.1.hoverItem.40&amp;utparam=%7B%22aplus_abtest%22%3A%22c6495b66071886e35454a19a86cf0272%22%7D&amp;xxc=taobaoSearch" TargetMode="External"/><Relationship Id="rId3" Type="http://schemas.openxmlformats.org/officeDocument/2006/relationships/hyperlink" Target="https://detail.tmall.com/item.htm?from=cart&amp;id=42779708216&amp;mi_id=00002DtXYyiPNYKMO5Vc9dwY-29NBh2ntYURI8jeqTdzvc4&amp;spm=a1z0d.6639537%2F202410.item.d42779708216.1ee87484N8YueE&amp;upStreamPrice=198" TargetMode="External"/><Relationship Id="rId7" Type="http://schemas.openxmlformats.org/officeDocument/2006/relationships/hyperlink" Target="https://item.taobao.com/item.htm?abbucket=1&amp;id=962889065158&amp;mi_id=0000LC0SHcC3zxsDT7Qy1evKTs152wF_irZNyEukknOo4Xs&amp;ns=1&amp;priceTId=2150440e17749562352522018e1123&amp;skuId=5897309768565&amp;spm=a21n57.1.hoverItem.13&amp;utparam=%7B%22aplus_abtest%22%3A%22ae9c5f4bfe76751c7d8f216c4a44a66c%22%7D&amp;xxc=taobaoSearch" TargetMode="External"/><Relationship Id="rId12" Type="http://schemas.openxmlformats.org/officeDocument/2006/relationships/hyperlink" Target="https://item.taobao.com/item.htm?abbucket=1&amp;id=557846202031&amp;mi_id=0000X-hZZBsbzVfqkSrTEcMPc3iskXJwPXdotpcSr0PX-IE&amp;ns=1&amp;priceTId=214780e417749579366925134e141c&amp;skuId=5013157518178&amp;spm=a21n57.1.hoverItem.26&amp;utparam=%7B%22aplus_abtest%22%3A%22122d84a29c97e5e50ec88d1970eea339%22%7D&amp;xxc=taobaoSearch" TargetMode="External"/><Relationship Id="rId2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1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6" Type="http://schemas.openxmlformats.org/officeDocument/2006/relationships/hyperlink" Target="https://item.taobao.com/item.htm?abbucket=1&amp;id=559118049812&amp;mi_id=00009aiIbuCi4fSrKKewTTimz5LCvZZr3gW428HXEZxQMf8&amp;ns=1&amp;priceTId=2147838117749552808884309e1012&amp;skuId=3992087230342&amp;spm=a21n57.1.hoverItem.2&amp;utparam=%7B%22aplus_abtest%22%3A%22994d012a732fe5e53d15633818a0dc6c%22%7D&amp;xxc=taobaoSearch" TargetMode="External"/><Relationship Id="rId11" Type="http://schemas.openxmlformats.org/officeDocument/2006/relationships/hyperlink" Target="https://detail.tmall.com/item.htm?abbucket=1&amp;id=783054596102&amp;mi_id=0000AXsl7WPwj1FC-nWbGb9mwZO4Oq8ZcMD7gQZG7_pO_do&amp;ns=1&amp;priceTId=214783a717749578328755762e11c6&amp;skuId=5518709931835&amp;spm=a21n57.1.hoverItem.6&amp;utparam=%7B%22aplus_abtest%22%3A%22de70ab5523bc0cd495b625bfde0ba70c%22%7D&amp;xxc=taobaoSearch" TargetMode="External"/><Relationship Id="rId5" Type="http://schemas.openxmlformats.org/officeDocument/2006/relationships/hyperlink" Target="https://item.taobao.com/item.htm?id=909381113639&amp;mi_id=0000ZKm7fgI2m8Iyrg0NnA28avxt208xvfwr0ijwy2qz_nQ&amp;spm=tbpc.boughtlist.suborder_itemtitle.1.23042e8dFCK1Wy&amp;skuId=5769812572738" TargetMode="External"/><Relationship Id="rId10" Type="http://schemas.openxmlformats.org/officeDocument/2006/relationships/hyperlink" Target="https://item.taobao.com/item.htm?abbucket=1&amp;id=562145367495&amp;mi_id=0000FE8ccMmy7yLiV9SD1novjaVcrv6ivkzWGYt3C_-2GbY&amp;ns=1&amp;priceTId=214783a717749576250551309e11c6&amp;skuId=4843968313711&amp;spm=a21n57.1.hoverItem.2&amp;utparam=%7B%22aplus_abtest%22%3A%229bb2e9a781103abd4604e346b58b047b%22%7D&amp;xxc=taobaoSearch" TargetMode="External"/><Relationship Id="rId4" Type="http://schemas.openxmlformats.org/officeDocument/2006/relationships/hyperlink" Target="https://item.taobao.com/item.htm?abbucket=1&amp;id=763145370767&amp;mi_id=0000pFQyst3lloxFBPS50BtTcRpgvrk8oVG6CPgywRPGAl4&amp;ns=1&amp;priceTId=213e071d17749532093785454e131c&amp;skuId=5427207879610&amp;spm=a21n57.1.hoverItem.1&amp;utparam=%7B%22aplus_abtest%22%3A%22b754cef8685d11a6704f11e532aefa30%22%7D&amp;xxc=taobaoSearch" TargetMode="External"/><Relationship Id="rId9" Type="http://schemas.openxmlformats.org/officeDocument/2006/relationships/hyperlink" Target="https://detail.tmall.com/item.htm?abbucket=1&amp;id=901455388975&amp;mi_id=0000OhlIUQcZZnVYqbeGFSM-XYAKfvI_vkYUibu_xSo0h18&amp;ns=1&amp;priceTId=214783a717749573296853597e11c6&amp;skuId=5763516341354&amp;spm=a21n57.1.hoverItem.6&amp;utparam=%7B%22aplus_abtest%22%3A%22ab04128194ffd44d658fb3cd69422a47%22%7D&amp;xxc=taobaoSearch" TargetMode="External"/><Relationship Id="rId14" Type="http://schemas.openxmlformats.org/officeDocument/2006/relationships/hyperlink" Target="https://detail.tmall.com/item.htm?from=cart&amp;id=41254478179&amp;mi_id=00004XSliXOND9AAtWETQZeRzdnb886TOCEYHHehIJV98KM&amp;skuId=5755030488368&amp;spm=a1z0d.6639537%2F202410.item.d41254478179.28077484ZB6hRm&amp;upStreamPrice=7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="130" zoomScaleNormal="130" workbookViewId="0">
      <selection sqref="A1:O1"/>
    </sheetView>
  </sheetViews>
  <sheetFormatPr defaultColWidth="10" defaultRowHeight="13.5"/>
  <cols>
    <col min="1" max="1" width="5.875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customWidth="1"/>
    <col min="13" max="13" width="6.25" customWidth="1"/>
    <col min="14" max="14" width="9.5" customWidth="1"/>
    <col min="15" max="15" width="40.75" customWidth="1"/>
  </cols>
  <sheetData>
    <row r="1" spans="1:17" ht="20.25">
      <c r="A1" s="7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7" ht="27.75" customHeight="1">
      <c r="A2" s="9" t="s">
        <v>0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0" t="s">
        <v>6</v>
      </c>
      <c r="B3" s="10"/>
      <c r="C3" s="10"/>
      <c r="D3" s="11" t="s">
        <v>7</v>
      </c>
      <c r="E3" s="9"/>
      <c r="F3" s="9"/>
      <c r="G3" s="9"/>
      <c r="H3" s="9"/>
      <c r="I3" s="9"/>
      <c r="J3" s="9"/>
      <c r="K3" s="9"/>
      <c r="L3" s="3">
        <v>12</v>
      </c>
      <c r="M3" s="3">
        <v>1</v>
      </c>
      <c r="N3" s="3">
        <f t="shared" ref="N3:N8" si="0">L3</f>
        <v>12</v>
      </c>
      <c r="O3" s="3" t="s">
        <v>6</v>
      </c>
      <c r="P3" s="3"/>
      <c r="Q3" s="3"/>
    </row>
    <row r="4" spans="1:17" ht="26.25" customHeight="1">
      <c r="A4" s="10" t="s">
        <v>8</v>
      </c>
      <c r="B4" s="10"/>
      <c r="C4" s="10"/>
      <c r="D4" s="12" t="s">
        <v>9</v>
      </c>
      <c r="E4" s="11"/>
      <c r="F4" s="11"/>
      <c r="G4" s="11"/>
      <c r="H4" s="11"/>
      <c r="I4" s="11"/>
      <c r="J4" s="11"/>
      <c r="K4" s="11"/>
      <c r="L4" s="3">
        <v>23</v>
      </c>
      <c r="M4" s="3">
        <v>1</v>
      </c>
      <c r="N4" s="3">
        <f t="shared" si="0"/>
        <v>23</v>
      </c>
      <c r="O4" s="3" t="s">
        <v>10</v>
      </c>
      <c r="P4" s="3"/>
      <c r="Q4" s="3"/>
    </row>
    <row r="5" spans="1:17" ht="23.25" customHeight="1">
      <c r="A5" s="10" t="s">
        <v>11</v>
      </c>
      <c r="B5" s="10"/>
      <c r="C5" s="10"/>
      <c r="D5" s="13" t="s">
        <v>12</v>
      </c>
      <c r="E5" s="13"/>
      <c r="F5" s="13"/>
      <c r="G5" s="13"/>
      <c r="H5" s="13"/>
      <c r="I5" s="13"/>
      <c r="J5" s="13"/>
      <c r="K5" s="13"/>
      <c r="L5" s="3">
        <v>2.2000000000000002</v>
      </c>
      <c r="M5" s="4">
        <v>1</v>
      </c>
      <c r="N5" s="3">
        <f t="shared" si="0"/>
        <v>2.2000000000000002</v>
      </c>
      <c r="O5" s="3" t="s">
        <v>13</v>
      </c>
      <c r="P5" s="3"/>
      <c r="Q5" s="3"/>
    </row>
    <row r="6" spans="1:17" ht="26.25" customHeight="1">
      <c r="A6" s="14" t="s">
        <v>14</v>
      </c>
      <c r="B6" s="14"/>
      <c r="C6" s="14"/>
      <c r="D6" s="13" t="s">
        <v>15</v>
      </c>
      <c r="E6" s="15"/>
      <c r="F6" s="15"/>
      <c r="G6" s="15"/>
      <c r="H6" s="15"/>
      <c r="I6" s="15"/>
      <c r="J6" s="15"/>
      <c r="K6" s="15"/>
      <c r="L6" s="3">
        <v>6.82</v>
      </c>
      <c r="M6" s="3">
        <v>1</v>
      </c>
      <c r="N6" s="3">
        <f t="shared" si="0"/>
        <v>6.82</v>
      </c>
      <c r="O6" s="3" t="s">
        <v>16</v>
      </c>
      <c r="P6" s="3"/>
      <c r="Q6" s="3"/>
    </row>
    <row r="7" spans="1:17" ht="24.75" customHeight="1">
      <c r="A7" s="14" t="s">
        <v>17</v>
      </c>
      <c r="B7" s="14"/>
      <c r="C7" s="14"/>
      <c r="D7" s="16" t="s">
        <v>18</v>
      </c>
      <c r="E7" s="15"/>
      <c r="F7" s="15"/>
      <c r="G7" s="15"/>
      <c r="H7" s="15"/>
      <c r="I7" s="15"/>
      <c r="J7" s="15"/>
      <c r="K7" s="15"/>
      <c r="L7" s="3">
        <v>2.94</v>
      </c>
      <c r="M7" s="3">
        <v>1</v>
      </c>
      <c r="N7" s="3">
        <f t="shared" si="0"/>
        <v>2.94</v>
      </c>
      <c r="O7" s="3" t="s">
        <v>19</v>
      </c>
      <c r="P7" s="3"/>
      <c r="Q7" s="3"/>
    </row>
    <row r="8" spans="1:17" ht="24.75" customHeight="1">
      <c r="A8" s="14" t="s">
        <v>20</v>
      </c>
      <c r="B8" s="14"/>
      <c r="C8" s="14"/>
      <c r="D8" s="16" t="s">
        <v>21</v>
      </c>
      <c r="E8" s="16"/>
      <c r="F8" s="16"/>
      <c r="G8" s="16"/>
      <c r="H8" s="16"/>
      <c r="I8" s="16"/>
      <c r="J8" s="16"/>
      <c r="K8" s="16"/>
      <c r="L8" s="3">
        <v>19</v>
      </c>
      <c r="M8" s="3">
        <v>1</v>
      </c>
      <c r="N8" s="3">
        <f t="shared" si="0"/>
        <v>19</v>
      </c>
      <c r="O8" s="3" t="s">
        <v>22</v>
      </c>
      <c r="P8" s="3"/>
      <c r="Q8" s="3"/>
    </row>
    <row r="9" spans="1:17" ht="24.75" customHeight="1">
      <c r="A9" s="14" t="s">
        <v>23</v>
      </c>
      <c r="B9" s="14"/>
      <c r="C9" s="14"/>
      <c r="D9" s="13" t="s">
        <v>24</v>
      </c>
      <c r="E9" s="16"/>
      <c r="F9" s="16"/>
      <c r="G9" s="16"/>
      <c r="H9" s="16"/>
      <c r="I9" s="16"/>
      <c r="J9" s="16"/>
      <c r="K9" s="16"/>
      <c r="L9" s="3">
        <v>6</v>
      </c>
      <c r="M9" s="3">
        <v>1</v>
      </c>
      <c r="N9" s="3">
        <f t="shared" ref="N9:N17" si="1">L9</f>
        <v>6</v>
      </c>
      <c r="O9" s="3" t="s">
        <v>25</v>
      </c>
      <c r="P9" s="3"/>
      <c r="Q9" s="3"/>
    </row>
    <row r="10" spans="1:17" ht="24.75" customHeight="1">
      <c r="A10" s="14" t="s">
        <v>26</v>
      </c>
      <c r="B10" s="14"/>
      <c r="C10" s="14"/>
      <c r="D10" s="16" t="s">
        <v>27</v>
      </c>
      <c r="E10" s="15"/>
      <c r="F10" s="15"/>
      <c r="G10" s="15"/>
      <c r="H10" s="15"/>
      <c r="I10" s="15"/>
      <c r="J10" s="15"/>
      <c r="K10" s="15"/>
      <c r="L10" s="3">
        <v>10.89</v>
      </c>
      <c r="M10" s="3">
        <v>1</v>
      </c>
      <c r="N10" s="3">
        <f t="shared" si="1"/>
        <v>10.89</v>
      </c>
      <c r="O10" s="3" t="s">
        <v>28</v>
      </c>
      <c r="P10" s="3"/>
      <c r="Q10" s="3"/>
    </row>
    <row r="11" spans="1:17" ht="24.75" customHeight="1">
      <c r="A11" s="14" t="s">
        <v>29</v>
      </c>
      <c r="B11" s="14"/>
      <c r="C11" s="14"/>
      <c r="D11" s="13" t="s">
        <v>30</v>
      </c>
      <c r="E11" s="15"/>
      <c r="F11" s="15"/>
      <c r="G11" s="15"/>
      <c r="H11" s="15"/>
      <c r="I11" s="15"/>
      <c r="J11" s="15"/>
      <c r="K11" s="15"/>
      <c r="L11" s="3">
        <v>12</v>
      </c>
      <c r="M11" s="3">
        <v>1</v>
      </c>
      <c r="N11" s="3">
        <f t="shared" si="1"/>
        <v>12</v>
      </c>
      <c r="O11" s="3" t="s">
        <v>31</v>
      </c>
      <c r="P11" s="3"/>
      <c r="Q11" s="3"/>
    </row>
    <row r="12" spans="1:17" ht="26.25" customHeight="1">
      <c r="A12" s="14" t="s">
        <v>32</v>
      </c>
      <c r="B12" s="14"/>
      <c r="C12" s="14"/>
      <c r="D12" s="13" t="s">
        <v>33</v>
      </c>
      <c r="E12" s="15"/>
      <c r="F12" s="15"/>
      <c r="G12" s="15"/>
      <c r="H12" s="15"/>
      <c r="I12" s="15"/>
      <c r="J12" s="15"/>
      <c r="K12" s="15"/>
      <c r="L12" s="3">
        <v>3.8</v>
      </c>
      <c r="M12" s="3">
        <v>1</v>
      </c>
      <c r="N12" s="3">
        <f t="shared" si="1"/>
        <v>3.8</v>
      </c>
      <c r="O12" s="3" t="s">
        <v>16</v>
      </c>
      <c r="P12" s="3"/>
      <c r="Q12" s="3"/>
    </row>
    <row r="13" spans="1:17" ht="26.25" customHeight="1">
      <c r="A13" s="14" t="s">
        <v>34</v>
      </c>
      <c r="B13" s="14"/>
      <c r="C13" s="14"/>
      <c r="D13" s="13" t="s">
        <v>35</v>
      </c>
      <c r="E13" s="15"/>
      <c r="F13" s="15"/>
      <c r="G13" s="15"/>
      <c r="H13" s="15"/>
      <c r="I13" s="15"/>
      <c r="J13" s="15"/>
      <c r="K13" s="15"/>
      <c r="L13" s="3">
        <v>4.95</v>
      </c>
      <c r="M13" s="3">
        <v>1</v>
      </c>
      <c r="N13" s="3">
        <f t="shared" si="1"/>
        <v>4.95</v>
      </c>
      <c r="O13" s="3"/>
      <c r="P13" s="3"/>
      <c r="Q13" s="3"/>
    </row>
    <row r="14" spans="1:17" ht="24.75" customHeight="1">
      <c r="A14" s="14" t="s">
        <v>36</v>
      </c>
      <c r="B14" s="14"/>
      <c r="C14" s="14"/>
      <c r="D14" s="13" t="s">
        <v>37</v>
      </c>
      <c r="E14" s="15"/>
      <c r="F14" s="15"/>
      <c r="G14" s="15"/>
      <c r="H14" s="15"/>
      <c r="I14" s="15"/>
      <c r="J14" s="15"/>
      <c r="K14" s="15"/>
      <c r="L14" s="3">
        <v>3.56</v>
      </c>
      <c r="M14" s="3">
        <v>1</v>
      </c>
      <c r="N14" s="3">
        <f t="shared" si="1"/>
        <v>3.56</v>
      </c>
      <c r="O14" s="3" t="s">
        <v>38</v>
      </c>
      <c r="P14" s="3"/>
      <c r="Q14" s="3"/>
    </row>
    <row r="15" spans="1:17" ht="24.75" customHeight="1">
      <c r="A15" s="14" t="s">
        <v>39</v>
      </c>
      <c r="B15" s="14"/>
      <c r="C15" s="14"/>
      <c r="D15" s="13" t="s">
        <v>40</v>
      </c>
      <c r="E15" s="15"/>
      <c r="F15" s="15"/>
      <c r="G15" s="15"/>
      <c r="H15" s="15"/>
      <c r="I15" s="15"/>
      <c r="J15" s="15"/>
      <c r="K15" s="15"/>
      <c r="L15" s="3">
        <v>5</v>
      </c>
      <c r="M15" s="3">
        <v>1</v>
      </c>
      <c r="N15" s="3">
        <f t="shared" si="1"/>
        <v>5</v>
      </c>
      <c r="O15" s="3" t="s">
        <v>39</v>
      </c>
      <c r="P15" s="3"/>
      <c r="Q15" s="3"/>
    </row>
    <row r="16" spans="1:17" ht="24.75" customHeight="1">
      <c r="A16" s="14" t="s">
        <v>41</v>
      </c>
      <c r="B16" s="14"/>
      <c r="C16" s="14"/>
      <c r="D16" s="16" t="s">
        <v>42</v>
      </c>
      <c r="E16" s="16"/>
      <c r="F16" s="16"/>
      <c r="G16" s="16"/>
      <c r="H16" s="16"/>
      <c r="I16" s="16"/>
      <c r="J16" s="16"/>
      <c r="K16" s="16"/>
      <c r="L16" s="3">
        <v>12.9</v>
      </c>
      <c r="M16" s="3">
        <v>1</v>
      </c>
      <c r="N16" s="3">
        <f t="shared" si="1"/>
        <v>12.9</v>
      </c>
      <c r="O16" s="3" t="s">
        <v>43</v>
      </c>
    </row>
    <row r="17" spans="1:15" ht="24.75" customHeight="1">
      <c r="A17" s="14" t="s">
        <v>44</v>
      </c>
      <c r="B17" s="14"/>
      <c r="C17" s="14"/>
      <c r="D17" s="16" t="s">
        <v>45</v>
      </c>
      <c r="E17" s="16"/>
      <c r="F17" s="16"/>
      <c r="G17" s="16"/>
      <c r="H17" s="16"/>
      <c r="I17" s="16"/>
      <c r="J17" s="16"/>
      <c r="K17" s="16"/>
      <c r="L17" s="3">
        <v>7.83</v>
      </c>
      <c r="M17" s="3">
        <v>1</v>
      </c>
      <c r="N17" s="3">
        <f t="shared" si="1"/>
        <v>7.83</v>
      </c>
      <c r="O17" s="3"/>
    </row>
    <row r="18" spans="1:15" ht="24.75" customHeight="1">
      <c r="A18" s="14" t="s">
        <v>46</v>
      </c>
      <c r="B18" s="14"/>
      <c r="C18" s="14"/>
      <c r="D18" s="16" t="s">
        <v>47</v>
      </c>
      <c r="E18" s="15"/>
      <c r="F18" s="15"/>
      <c r="G18" s="15"/>
      <c r="H18" s="15"/>
      <c r="I18" s="15"/>
      <c r="J18" s="15"/>
      <c r="K18" s="15"/>
      <c r="L18" s="3">
        <v>20</v>
      </c>
      <c r="M18" s="3">
        <v>1</v>
      </c>
      <c r="N18" s="3">
        <v>20</v>
      </c>
      <c r="O18" s="3" t="s">
        <v>48</v>
      </c>
    </row>
    <row r="19" spans="1:15" ht="23.25" customHeight="1">
      <c r="A19" s="5" t="s">
        <v>49</v>
      </c>
      <c r="B19" s="17">
        <f>SUM(L3:L18)</f>
        <v>152.89000000000001</v>
      </c>
      <c r="C19" s="1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2" spans="1:15" ht="14.1" customHeight="1">
      <c r="H22" s="6"/>
    </row>
  </sheetData>
  <mergeCells count="36">
    <mergeCell ref="B19:C19"/>
    <mergeCell ref="A16:C16"/>
    <mergeCell ref="D16:K16"/>
    <mergeCell ref="A17:C17"/>
    <mergeCell ref="D17:K17"/>
    <mergeCell ref="A18:C18"/>
    <mergeCell ref="D18:K18"/>
    <mergeCell ref="A13:C13"/>
    <mergeCell ref="D13:K13"/>
    <mergeCell ref="A14:C14"/>
    <mergeCell ref="D14:K14"/>
    <mergeCell ref="A15:C15"/>
    <mergeCell ref="D15:K15"/>
    <mergeCell ref="A10:C10"/>
    <mergeCell ref="D10:K10"/>
    <mergeCell ref="A11:C11"/>
    <mergeCell ref="D11:K11"/>
    <mergeCell ref="A12:C12"/>
    <mergeCell ref="D12:K12"/>
    <mergeCell ref="A7:C7"/>
    <mergeCell ref="D7:K7"/>
    <mergeCell ref="A8:C8"/>
    <mergeCell ref="D8:K8"/>
    <mergeCell ref="A9:C9"/>
    <mergeCell ref="D9:K9"/>
    <mergeCell ref="A4:C4"/>
    <mergeCell ref="D4:K4"/>
    <mergeCell ref="A5:C5"/>
    <mergeCell ref="D5:K5"/>
    <mergeCell ref="A6:C6"/>
    <mergeCell ref="D6:K6"/>
    <mergeCell ref="A1:O1"/>
    <mergeCell ref="A2:C2"/>
    <mergeCell ref="D2:K2"/>
    <mergeCell ref="A3:C3"/>
    <mergeCell ref="D3:K3"/>
  </mergeCells>
  <hyperlinks>
    <hyperlink ref="D14" r:id="rId1" tooltip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0000000-0004-0000-0000-000000000000}"/>
    <hyperlink ref="D15" r:id="rId2" tooltip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00000000-0004-0000-0000-000001000000}"/>
    <hyperlink ref="D5" r:id="rId3" xr:uid="{00000000-0004-0000-0000-000002000000}"/>
    <hyperlink ref="D4" r:id="rId4" display="https://item.taobao.com/item.htm?abbucket=1&amp;id=763145370767&amp;mi_id=0000pFQyst3lloxFBPS50BtTcRpgvrk8oVG6CPgywRPGAl4&amp;ns=1&amp;priceTId=213e071d17749532093785454e131c&amp;skuId=5427207879610&amp;spm=a21n57.1.hoverItem.1&amp;utparam=%7B%22aplus_abtest%22%3A%22b754cef8685d11a6704f11e532aefa30%22%7D&amp;xxc=taobaoSearch" xr:uid="{00000000-0004-0000-0000-000003000000}"/>
    <hyperlink ref="D12" r:id="rId5" tooltip="https://item.taobao.com/item.htm?id=909381113639&amp;mi_id=0000ZKm7fgI2m8Iyrg0NnA28avxt208xvfwr0ijwy2qz_nQ&amp;spm=tbpc.boughtlist.suborder_itemtitle.1.23042e8dFCK1Wy&amp;skuId=5769812572738" xr:uid="{00000000-0004-0000-0000-000004000000}"/>
    <hyperlink ref="D9" r:id="rId6" tooltip="https://item.taobao.com/item.htm?abbucket=1&amp;id=559118049812&amp;mi_id=00009aiIbuCi4fSrKKewTTimz5LCvZZr3gW428HXEZxQMf8&amp;ns=1&amp;priceTId=2147838117749552808884309e1012&amp;skuId=3992087230342&amp;spm=a21n57.1.hoverItem.2&amp;utparam=%7B%22aplus_abtest%22%3A%22994d012a732fe5e5" display="https://item.taobao.com/item.htm?abbucket=1&amp;id=559118049812&amp;mi_id=00009aiIbuCi4fSrKKewTTimz5LCvZZr3gW428HXEZxQMf8&amp;ns=1&amp;priceTId=2147838117749552808884309e1012&amp;skuId=3992087230342&amp;spm=a21n57.1.hoverItem.2&amp;utparam=%7B%22aplus_abtest%22%3A%22994d012a732fe5e53d15633818a0dc6c%22%7D&amp;xxc=taobaoSearch" xr:uid="{00000000-0004-0000-0000-000005000000}"/>
    <hyperlink ref="D6" r:id="rId7" display="https://item.taobao.com/item.htm?abbucket=1&amp;id=962889065158&amp;mi_id=0000LC0SHcC3zxsDT7Qy1evKTs152wF_irZNyEukknOo4Xs&amp;ns=1&amp;priceTId=2150440e17749562352522018e1123&amp;skuId=5897309768565&amp;spm=a21n57.1.hoverItem.13&amp;utparam=%7B%22aplus_abtest%22%3A%22ae9c5f4bfe76751c7d8f216c4a44a66c%22%7D&amp;xxc=taobaoSearch" xr:uid="{00000000-0004-0000-0000-000006000000}"/>
    <hyperlink ref="D7" r:id="rId8" xr:uid="{00000000-0004-0000-0000-00000A000000}"/>
    <hyperlink ref="D8" r:id="rId9" display="https://detail.tmall.com/item.htm?abbucket=1&amp;id=901455388975&amp;mi_id=0000OhlIUQcZZnVYqbeGFSM-XYAKfvI_vkYUibu_xSo0h18&amp;ns=1&amp;priceTId=214783a717749573296853597e11c6&amp;skuId=5763516341354&amp;spm=a21n57.1.hoverItem.6&amp;utparam=%7B%22aplus_abtest%22%3A%22ab04128194ffd44d658fb3cd69422a47%22%7D&amp;xxc=taobaoSearch" xr:uid="{00000000-0004-0000-0000-00000B000000}"/>
    <hyperlink ref="D10" r:id="rId10" display="https://item.taobao.com/item.htm?abbucket=1&amp;id=562145367495&amp;mi_id=0000FE8ccMmy7yLiV9SD1novjaVcrv6ivkzWGYt3C_-2GbY&amp;ns=1&amp;priceTId=214783a717749576250551309e11c6&amp;skuId=4843968313711&amp;spm=a21n57.1.hoverItem.2&amp;utparam=%7B%22aplus_abtest%22%3A%229bb2e9a781103abd4604e346b58b047b%22%7D&amp;xxc=taobaoSearch" xr:uid="{00000000-0004-0000-0000-00000C000000}"/>
    <hyperlink ref="D11" r:id="rId11" display="https://detail.tmall.com/item.htm?abbucket=1&amp;id=783054596102&amp;mi_id=0000AXsl7WPwj1FC-nWbGb9mwZO4Oq8ZcMD7gQZG7_pO_do&amp;ns=1&amp;priceTId=214783a717749578328755762e11c6&amp;skuId=5518709931835&amp;spm=a21n57.1.hoverItem.6&amp;utparam=%7B%22aplus_abtest%22%3A%22de70ab5523bc0cd495b625bfde0ba70c%22%7D&amp;xxc=taobaoSearch" xr:uid="{00000000-0004-0000-0000-00000D000000}"/>
    <hyperlink ref="D13" r:id="rId12" display="https://item.taobao.com/item.htm?abbucket=1&amp;id=557846202031&amp;mi_id=0000X-hZZBsbzVfqkSrTEcMPc3iskXJwPXdotpcSr0PX-IE&amp;ns=1&amp;priceTId=214780e417749579366925134e141c&amp;skuId=5013157518178&amp;spm=a21n57.1.hoverItem.26&amp;utparam=%7B%22aplus_abtest%22%3A%22122d84a29c97e5e50ec88d1970eea339%22%7D&amp;xxc=taobaoSearch" xr:uid="{00000000-0004-0000-0000-00000E000000}"/>
    <hyperlink ref="D16" r:id="rId13" display="https://detail.tmall.com/item.htm?abbucket=1&amp;id=946096037442&amp;mi_id=0000SahX11fgMfzXRXzbKL1ljSLpjN88QWLPZVY_kv9o0cM&amp;ns=1&amp;priceTId=214780e417749584469598676e141c&amp;skuId=5850879928022&amp;spm=a21n57.1.hoverItem.40&amp;utparam=%7B%22aplus_abtest%22%3A%22c6495b66071886e35454a19a86cf0272%22%7D&amp;xxc=taobaoSearch" xr:uid="{00000000-0004-0000-0000-00000F000000}"/>
    <hyperlink ref="D17" r:id="rId14" xr:uid="{00000000-0004-0000-0000-000010000000}"/>
  </hyperlink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zoomScaleNormal="130" workbookViewId="0"/>
  </sheetViews>
  <sheetFormatPr defaultColWidth="10" defaultRowHeight="13.5"/>
  <sheetData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zoomScaleNormal="130" workbookViewId="0"/>
  </sheetViews>
  <sheetFormatPr defaultColWidth="10" defaultRowHeight="13.5"/>
  <sheetData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2024-01-09T21:26:00Z</dcterms:created>
  <dcterms:modified xsi:type="dcterms:W3CDTF">2026-04-01T01:29:30Z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9040B1D5B1BC43B99CB4C3C2D68AD2F6_13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