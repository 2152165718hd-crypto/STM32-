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20\ATM自动柜员机控制系统的设计\1.案例清单\"/>
    </mc:Choice>
  </mc:AlternateContent>
  <xr:revisionPtr revIDLastSave="0" documentId="13_ncr:1_{700EF406-115B-44FD-BB17-F38367F6B4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O10" i="1"/>
  <c r="N10" i="1"/>
  <c r="O7" i="1" l="1"/>
  <c r="N7" i="1"/>
  <c r="O8" i="1"/>
  <c r="N8" i="1"/>
  <c r="N5" i="1"/>
  <c r="N6" i="1"/>
  <c r="N9" i="1"/>
  <c r="N12" i="1"/>
  <c r="O5" i="1"/>
  <c r="O6" i="1"/>
  <c r="O9" i="1"/>
  <c r="O4" i="1"/>
  <c r="N4" i="1"/>
  <c r="O12" i="1"/>
  <c r="O13" i="1"/>
  <c r="O14" i="1"/>
  <c r="O15" i="1"/>
  <c r="O16" i="1"/>
  <c r="O17" i="1"/>
  <c r="O18" i="1"/>
  <c r="O3" i="1"/>
  <c r="N13" i="1"/>
  <c r="N14" i="1"/>
  <c r="N15" i="1"/>
  <c r="N16" i="1"/>
  <c r="N17" i="1"/>
  <c r="N18" i="1"/>
  <c r="N3" i="1"/>
  <c r="B19" i="1" l="1"/>
</calcChain>
</file>

<file path=xl/sharedStrings.xml><?xml version="1.0" encoding="utf-8"?>
<sst xmlns="http://schemas.openxmlformats.org/spreadsheetml/2006/main" count="40" uniqueCount="40">
  <si>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</si>
  <si>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</si>
  <si>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</si>
  <si>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</si>
  <si>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</si>
  <si>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</si>
  <si>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</si>
  <si>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</si>
  <si>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</si>
  <si>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https://item.taobao.com/item.htm?from=cart&amp;id=522574797086&amp;mi_id=0000uY8Qjpfx8oMO_EeqWecxw19OlW6_UEmLNw9oWhO885k&amp;spm=a1z0d.6639537%2F202410.item.d522574797086.105e7484dKrRqu&amp;upStreamPrice=22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</si>
  <si>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</si>
  <si>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</si>
  <si>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</si>
  <si>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</si>
  <si>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</si>
  <si>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</si>
  <si>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</si>
  <si>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</si>
  <si>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</si>
  <si>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</si>
  <si>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采购清单</t>
  </si>
  <si>
    <t>排针</t>
  </si>
  <si>
    <t>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</t>
  </si>
  <si>
    <t>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</t>
  </si>
  <si>
    <t>锡丝</t>
  </si>
  <si>
    <t>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</t>
  </si>
  <si>
    <t>电机驱动模块</t>
  </si>
  <si>
    <t>DS18B20温度传感器</t>
  </si>
  <si>
    <t>散热风扇</t>
  </si>
  <si>
    <t>Wi-Fi模块</t>
  </si>
  <si>
    <t>蜂鸣器</t>
  </si>
  <si>
    <t>直流电机</t>
  </si>
  <si>
    <t>https://item.taobao.com/item.htm?abbucket=10&amp;id=651806406945&amp;mi_id=0000dWyfVEgHrjoWz5NHkQoSwVuTbk3SBC6Om_hmSpCXnwI&amp;ns=1&amp;priceTId=2150455817763456530316297e1253&amp;skuId=4875243075023&amp;spm=a21n57.1.hoverItem.8&amp;utparam=%7B%22aplus_abtest%22%3A%2283098b74bc61ff11a6150028bcc85338%22%7D&amp;xxc=taobaoSearch</t>
  </si>
  <si>
    <t>https://detail.tmall.com/item.htm?abbucket=10&amp;id=539749232497&amp;mi_id=0000AqcZjJ7-Z4z19DJ7jAGyP7CHQ5pnYJJdgjXQN4HTmQc&amp;ns=1&amp;priceTId=2150455817763457762638995e1253&amp;skuId=5358360118676&amp;spm=a21n57.1.hoverItem.3&amp;utparam=%7B%22aplus_abtest%22%3A%225787d8f268df2d9bee0bc325c7f6e1ff%22%7D&amp;xxc=taobaoSearch</t>
  </si>
  <si>
    <t>https://detail.tmall.com/item.htm?abbucket=10&amp;id=649962540067&amp;mi_id=0000KWnd8wUvMeckH6zIaiOHZk6RDos5Dwmii09n5b4UQJM&amp;ns=1&amp;priceTId=213e071b17772088883625484e106a&amp;skuId=4861419570501&amp;spm=a21n57.1.hoverItem.41&amp;utparam=%7B%22aplus_abtest%22%3A%2201c456d85fb0e7c36b6098cfe6c142bb%22%7D&amp;xxc=taobaoSearch</t>
  </si>
  <si>
    <t>https://detail.tmall.com/item.htm?abbucket=10&amp;benefitReciveParams=%7B%22toast%22%3A%22true%22%2C%22channel%22%3A%22lafite_pcsousuojx%22%2C%22asac%22%3A%223A258115YHMBX70LR8BMZD%22%2C%22strategyCode%22%3A%2276d7c7a29f4d45a4aeed0719ba2dde89%22%2C%22selectedBenefitCode%22%3A%22de69ae9a65984f44a955cf3581913177%2C93eedbf0394d4c42a30e236843271896%2Cac22b1297e6646baa883f8458b9f1b55%22%7D&amp;id=602769163042&amp;mi_id=0000ldPX56I3jsg6nMej3ydfRPX-KXDKA9O5Pj1wZNqNhk4&amp;ns=1&amp;priceTId=213e071b17772091320618266e106a&amp;spm=a21n57.1.hoverItem.6&amp;utparam=%7B%22aplus_abtest%22%3A%22ef63172fb773f3cb5adf84caf9117e59%22%7D&amp;xxc=taobaoSearch</t>
  </si>
  <si>
    <t>https://item.taobao.com/item.htm?abbucket=10&amp;id=543468772547&amp;mi_id=0000_-GgDSW6L4_LTPP9kotaEot7RVmCW6DBhPLNztb9Bu4&amp;ns=1&amp;priceTId=213e071b17772092539954829e106a&amp;skuId=4994815692417&amp;spm=a21n57.1.hoverItem.3&amp;utparam=%7B%22aplus_abtest%22%3A%226df27be0208b902e7b985e0b13504ef9%22%7D&amp;xxc=taobaoSearch</t>
  </si>
  <si>
    <t>https://item.taobao.com/item.htm?abbucket=10&amp;id=597981154375&amp;mi_id=0000cqFSphCOqPWn4wmWTMFWkwQEU3iQtASQXIxm5HHXJ-8&amp;ns=1&amp;priceTId=213e071b17772093034192251e106a&amp;skuId=4173807552072&amp;spm=a21n57.1.hoverItem.21&amp;utparam=%7B%22aplus_abtest%22%3A%2244a674b7c5ebe9481b92957e325d8c70%22%7D&amp;xxc=taobaoSearch</t>
  </si>
  <si>
    <t>红外测距模块</t>
  </si>
  <si>
    <t>https://detail.tmall.com/item.htm?abbucket=10&amp;id=41251333522&amp;mi_id=0000AIvIH6Up9Wljp6Y8_djkvouULAnMuj-lCBozbehu3pc&amp;ns=1&amp;skuId=4323951807546&amp;spm=a21n57.1.hoverItem.23&amp;utparam=%7B%22aplus_abtest%22%3A%22efa1f13a19dec7fda6b43515a256c614%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</si>
</sst>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7" fillId="0" borderId="1" xfId="1" applyFill="1" applyBorder="1">
      <alignment vertical="center"/>
    </xf>
    <xf numFmtId="0" fontId="0" fillId="0" borderId="1" xfId="0" applyBorder="1">
      <alignment vertical="center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TargetMode="External"/><Relationship Id="rId13" Type="http://schemas.openxmlformats.org/officeDocument/2006/relationships/hyperlink" Target="https://item.taobao.com/item.htm?abbucket=10&amp;id=597981154375&amp;mi_id=0000cqFSphCOqPWn4wmWTMFWkwQEU3iQtASQXIxm5HHXJ-8&amp;ns=1&amp;priceTId=213e071b17772093034192251e106a&amp;skuId=4173807552072&amp;spm=a21n57.1.hoverItem.21&amp;utparam=%7B%22aplus_abtest%22%3A%2244a674b7c5ebe9481b92957e325d8c70%22%7D&amp;xxc=taobaoSearch" TargetMode="External"/><Relationship Id="rId3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7" Type="http://schemas.openxmlformats.org/officeDocument/2006/relationships/hyperlink" Target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TargetMode="External"/><Relationship Id="rId12" Type="http://schemas.openxmlformats.org/officeDocument/2006/relationships/hyperlink" Target="https://item.taobao.com/item.htm?abbucket=10&amp;id=543468772547&amp;mi_id=0000_-GgDSW6L4_LTPP9kotaEot7RVmCW6DBhPLNztb9Bu4&amp;ns=1&amp;priceTId=213e071b17772092539954829e106a&amp;skuId=4994815692417&amp;spm=a21n57.1.hoverItem.3&amp;utparam=%7B%22aplus_abtest%22%3A%226df27be0208b902e7b985e0b13504ef9%22%7D&amp;xxc=taobaoSearch" TargetMode="External"/><Relationship Id="rId2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" Type="http://schemas.openxmlformats.org/officeDocument/2006/relationships/hyperlink" Target="https://item.taobao.com/item.htm?from=cart&amp;id=522574797086&amp;mi_id=0000uY8Qjpfx8oMO_EeqWecxw19OlW6_UEmLNw9oWhO885k&amp;spm=a1z0d.6639537%2F202410.item.d522574797086.105e7484dKrRqu&amp;upStreamPrice=22" TargetMode="External"/><Relationship Id="rId6" Type="http://schemas.openxmlformats.org/officeDocument/2006/relationships/hyperlink" Target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TargetMode="External"/><Relationship Id="rId11" Type="http://schemas.openxmlformats.org/officeDocument/2006/relationships/hyperlink" Target="https://detail.tmall.com/item.htm?abbucket=10&amp;id=649962540067&amp;mi_id=0000KWnd8wUvMeckH6zIaiOHZk6RDos5Dwmii09n5b4UQJM&amp;ns=1&amp;priceTId=213e071b17772088883625484e106a&amp;skuId=4861419570501&amp;spm=a21n57.1.hoverItem.41&amp;utparam=%7B%22aplus_abtest%22%3A%2201c456d85fb0e7c36b6098cfe6c142bb%22%7D&amp;xxc=taobaoSearch" TargetMode="External"/><Relationship Id="rId5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etail.tmall.com/item.htm?abbucket=10&amp;id=539749232497&amp;mi_id=0000AqcZjJ7-Z4z19DJ7jAGyP7CHQ5pnYJJdgjXQN4HTmQc&amp;ns=1&amp;priceTId=2150455817763457762638995e1253&amp;skuId=5358360118676&amp;spm=a21n57.1.hoverItem.3&amp;utparam=%7B%22aplus_abtest%22%3A%225787d8f268df2d9bee0bc325c7f6e1ff%22%7D&amp;xxc=taobaoSearch" TargetMode="External"/><Relationship Id="rId4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9" Type="http://schemas.openxmlformats.org/officeDocument/2006/relationships/hyperlink" Target="https://item.taobao.com/item.htm?abbucket=10&amp;id=651806406945&amp;mi_id=0000dWyfVEgHrjoWz5NHkQoSwVuTbk3SBC6Om_hmSpCXnwI&amp;ns=1&amp;priceTId=2150455817763456530316297e1253&amp;skuId=4875243075023&amp;spm=a21n57.1.hoverItem.8&amp;utparam=%7B%22aplus_abtest%22%3A%2283098b74bc61ff11a6150028bcc85338%22%7D&amp;xxc=taobaoSearch" TargetMode="External"/><Relationship Id="rId14" Type="http://schemas.openxmlformats.org/officeDocument/2006/relationships/hyperlink" Target="https://detail.tmall.com/item.htm?abbucket=10&amp;id=41251333522&amp;mi_id=0000AIvIH6Up9Wljp6Y8_djkvouULAnMuj-lCBozbehu3pc&amp;ns=1&amp;skuId=4323951807546&amp;spm=a21n57.1.hoverItem.23&amp;utparam=%7B%22aplus_abtest%22%3A%22efa1f13a19dec7fda6b43515a256c614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="130" zoomScaleNormal="130" workbookViewId="0">
      <selection activeCell="L10" sqref="L10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7" ht="27.75" customHeight="1">
      <c r="A2" s="17" t="s">
        <v>0</v>
      </c>
      <c r="B2" s="17"/>
      <c r="C2" s="17"/>
      <c r="D2" s="17" t="s">
        <v>1</v>
      </c>
      <c r="E2" s="17"/>
      <c r="F2" s="17"/>
      <c r="G2" s="17"/>
      <c r="H2" s="17"/>
      <c r="I2" s="17"/>
      <c r="J2" s="17"/>
      <c r="K2" s="17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3" t="s">
        <v>7</v>
      </c>
      <c r="B3" s="13"/>
      <c r="C3" s="13"/>
      <c r="D3" s="18" t="s">
        <v>22</v>
      </c>
      <c r="E3" s="18"/>
      <c r="F3" s="18"/>
      <c r="G3" s="18"/>
      <c r="H3" s="18"/>
      <c r="I3" s="18"/>
      <c r="J3" s="18"/>
      <c r="K3" s="18"/>
      <c r="L3" s="4">
        <v>14.9</v>
      </c>
      <c r="M3" s="4">
        <v>1</v>
      </c>
      <c r="N3" s="4">
        <f>L3*M3</f>
        <v>14.9</v>
      </c>
      <c r="O3" s="6" t="str">
        <f>A3</f>
        <v>STM32F103C8T6核心开发板</v>
      </c>
    </row>
    <row r="4" spans="1:17" ht="23.25" customHeight="1">
      <c r="A4" s="13" t="s">
        <v>8</v>
      </c>
      <c r="B4" s="13"/>
      <c r="C4" s="13"/>
      <c r="D4" s="11" t="s">
        <v>23</v>
      </c>
      <c r="E4" s="12"/>
      <c r="F4" s="12"/>
      <c r="G4" s="12"/>
      <c r="H4" s="12"/>
      <c r="I4" s="12"/>
      <c r="J4" s="12"/>
      <c r="K4" s="12"/>
      <c r="L4" s="4">
        <v>12.9</v>
      </c>
      <c r="M4" s="8">
        <v>1</v>
      </c>
      <c r="N4" s="4">
        <f t="shared" ref="N4" si="0">L4*M4</f>
        <v>12.9</v>
      </c>
      <c r="O4" s="6" t="str">
        <f t="shared" ref="O4:O8" si="1">A4</f>
        <v>0.96寸白色OLED模块</v>
      </c>
    </row>
    <row r="5" spans="1:17" ht="23.25" customHeight="1">
      <c r="A5" s="13" t="s">
        <v>27</v>
      </c>
      <c r="B5" s="13"/>
      <c r="C5" s="13"/>
      <c r="D5" s="11" t="s">
        <v>34</v>
      </c>
      <c r="E5" s="12"/>
      <c r="F5" s="12"/>
      <c r="G5" s="12"/>
      <c r="H5" s="12"/>
      <c r="I5" s="12"/>
      <c r="J5" s="12"/>
      <c r="K5" s="12"/>
      <c r="L5" s="4">
        <v>5.8</v>
      </c>
      <c r="M5" s="8">
        <v>1</v>
      </c>
      <c r="N5" s="4">
        <f t="shared" ref="N5:N12" si="2">L5*M5</f>
        <v>5.8</v>
      </c>
      <c r="O5" s="6" t="str">
        <f t="shared" ref="O5" si="3">A5</f>
        <v>DS18B20温度传感器</v>
      </c>
    </row>
    <row r="6" spans="1:17" ht="23.25" customHeight="1">
      <c r="A6" s="13" t="s">
        <v>28</v>
      </c>
      <c r="B6" s="13"/>
      <c r="C6" s="13"/>
      <c r="D6" s="11" t="s">
        <v>35</v>
      </c>
      <c r="E6" s="12"/>
      <c r="F6" s="12"/>
      <c r="G6" s="12"/>
      <c r="H6" s="12"/>
      <c r="I6" s="12"/>
      <c r="J6" s="12"/>
      <c r="K6" s="12"/>
      <c r="L6" s="4">
        <v>9.9700000000000006</v>
      </c>
      <c r="M6" s="8">
        <v>1</v>
      </c>
      <c r="N6" s="4">
        <f t="shared" si="2"/>
        <v>9.9700000000000006</v>
      </c>
      <c r="O6" s="6" t="str">
        <f t="shared" si="1"/>
        <v>散热风扇</v>
      </c>
    </row>
    <row r="7" spans="1:17" ht="23.25" customHeight="1">
      <c r="A7" s="13" t="s">
        <v>29</v>
      </c>
      <c r="B7" s="13"/>
      <c r="C7" s="13"/>
      <c r="D7" s="11" t="s">
        <v>36</v>
      </c>
      <c r="E7" s="12"/>
      <c r="F7" s="12"/>
      <c r="G7" s="12"/>
      <c r="H7" s="12"/>
      <c r="I7" s="12"/>
      <c r="J7" s="12"/>
      <c r="K7" s="12"/>
      <c r="L7" s="4">
        <v>10.8</v>
      </c>
      <c r="M7" s="9">
        <v>1</v>
      </c>
      <c r="N7" s="4">
        <f t="shared" si="2"/>
        <v>10.8</v>
      </c>
      <c r="O7" s="6" t="str">
        <f t="shared" ref="O7" si="4">A7</f>
        <v>Wi-Fi模块</v>
      </c>
    </row>
    <row r="8" spans="1:17" ht="23.25" customHeight="1">
      <c r="A8" s="13" t="s">
        <v>38</v>
      </c>
      <c r="B8" s="13"/>
      <c r="C8" s="13"/>
      <c r="D8" s="11" t="s">
        <v>37</v>
      </c>
      <c r="E8" s="12"/>
      <c r="F8" s="12"/>
      <c r="G8" s="12"/>
      <c r="H8" s="12"/>
      <c r="I8" s="12"/>
      <c r="J8" s="12"/>
      <c r="K8" s="12"/>
      <c r="L8" s="4">
        <v>19.760000000000002</v>
      </c>
      <c r="M8" s="9">
        <v>1</v>
      </c>
      <c r="N8" s="4">
        <f t="shared" ref="N8" si="5">L8*M8</f>
        <v>19.760000000000002</v>
      </c>
      <c r="O8" s="6" t="str">
        <f t="shared" si="1"/>
        <v>红外测距模块</v>
      </c>
    </row>
    <row r="9" spans="1:17" ht="23.25" customHeight="1">
      <c r="A9" s="13" t="s">
        <v>30</v>
      </c>
      <c r="B9" s="13"/>
      <c r="C9" s="13"/>
      <c r="D9" s="11" t="s">
        <v>39</v>
      </c>
      <c r="E9" s="12"/>
      <c r="F9" s="12"/>
      <c r="G9" s="12"/>
      <c r="H9" s="12"/>
      <c r="I9" s="12"/>
      <c r="J9" s="12"/>
      <c r="K9" s="12"/>
      <c r="L9" s="4">
        <v>4.24</v>
      </c>
      <c r="M9" s="8">
        <v>1</v>
      </c>
      <c r="N9" s="4">
        <f t="shared" si="2"/>
        <v>4.24</v>
      </c>
      <c r="O9" s="6" t="str">
        <f t="shared" ref="O9:O11" si="6">A9</f>
        <v>蜂鸣器</v>
      </c>
    </row>
    <row r="10" spans="1:17" ht="24.75" customHeight="1">
      <c r="A10" s="10" t="s">
        <v>31</v>
      </c>
      <c r="B10" s="10"/>
      <c r="C10" s="10"/>
      <c r="D10" s="19" t="s">
        <v>32</v>
      </c>
      <c r="E10" s="20"/>
      <c r="F10" s="20"/>
      <c r="G10" s="20"/>
      <c r="H10" s="20"/>
      <c r="I10" s="20"/>
      <c r="J10" s="20"/>
      <c r="K10" s="20"/>
      <c r="L10" s="4">
        <v>12.65</v>
      </c>
      <c r="M10" s="4">
        <v>1</v>
      </c>
      <c r="N10" s="4">
        <f t="shared" ref="N10:N11" si="7">L10</f>
        <v>12.65</v>
      </c>
      <c r="O10" s="4" t="str">
        <f t="shared" si="6"/>
        <v>直流电机</v>
      </c>
    </row>
    <row r="11" spans="1:17" ht="24.75" customHeight="1">
      <c r="A11" s="10" t="s">
        <v>26</v>
      </c>
      <c r="B11" s="10"/>
      <c r="C11" s="10"/>
      <c r="D11" s="19" t="s">
        <v>33</v>
      </c>
      <c r="E11" s="20"/>
      <c r="F11" s="20"/>
      <c r="G11" s="20"/>
      <c r="H11" s="20"/>
      <c r="I11" s="20"/>
      <c r="J11" s="20"/>
      <c r="K11" s="20"/>
      <c r="L11" s="4">
        <v>12.12</v>
      </c>
      <c r="M11" s="4">
        <v>1</v>
      </c>
      <c r="N11" s="4">
        <f t="shared" si="7"/>
        <v>12.12</v>
      </c>
      <c r="O11" s="4" t="str">
        <f t="shared" si="6"/>
        <v>电机驱动模块</v>
      </c>
    </row>
    <row r="12" spans="1:17" ht="23.25" customHeight="1">
      <c r="A12" s="13" t="s">
        <v>24</v>
      </c>
      <c r="B12" s="13"/>
      <c r="C12" s="13"/>
      <c r="D12" s="11" t="s">
        <v>25</v>
      </c>
      <c r="E12" s="12"/>
      <c r="F12" s="12"/>
      <c r="G12" s="12"/>
      <c r="H12" s="12"/>
      <c r="I12" s="12"/>
      <c r="J12" s="12"/>
      <c r="K12" s="12"/>
      <c r="L12" s="4">
        <v>12.9</v>
      </c>
      <c r="M12" s="3">
        <v>1</v>
      </c>
      <c r="N12" s="4">
        <f t="shared" si="2"/>
        <v>12.9</v>
      </c>
      <c r="O12" s="6" t="str">
        <f t="shared" ref="O12:O18" si="8">A12</f>
        <v>锡丝</v>
      </c>
    </row>
    <row r="13" spans="1:17" ht="24.75" customHeight="1">
      <c r="A13" s="10" t="s">
        <v>21</v>
      </c>
      <c r="B13" s="10"/>
      <c r="C13" s="10"/>
      <c r="D13" s="11" t="s">
        <v>9</v>
      </c>
      <c r="E13" s="12"/>
      <c r="F13" s="12"/>
      <c r="G13" s="12"/>
      <c r="H13" s="12"/>
      <c r="I13" s="12"/>
      <c r="J13" s="12"/>
      <c r="K13" s="12"/>
      <c r="L13" s="4">
        <v>3.1</v>
      </c>
      <c r="M13" s="4">
        <v>1</v>
      </c>
      <c r="N13" s="4">
        <f t="shared" ref="N13:N18" si="9">L13*M13</f>
        <v>3.1</v>
      </c>
      <c r="O13" s="6" t="str">
        <f t="shared" si="8"/>
        <v>排针</v>
      </c>
    </row>
    <row r="14" spans="1:17" ht="24.75" customHeight="1">
      <c r="A14" s="10" t="s">
        <v>14</v>
      </c>
      <c r="B14" s="10"/>
      <c r="C14" s="10"/>
      <c r="D14" s="11" t="s">
        <v>15</v>
      </c>
      <c r="E14" s="12"/>
      <c r="F14" s="12"/>
      <c r="G14" s="12"/>
      <c r="H14" s="12"/>
      <c r="I14" s="12"/>
      <c r="J14" s="12"/>
      <c r="K14" s="12"/>
      <c r="L14" s="4">
        <v>4</v>
      </c>
      <c r="M14" s="4">
        <v>1</v>
      </c>
      <c r="N14" s="4">
        <f t="shared" si="9"/>
        <v>4</v>
      </c>
      <c r="O14" s="6" t="str">
        <f t="shared" si="8"/>
        <v>排母</v>
      </c>
      <c r="P14" s="4"/>
      <c r="Q14" s="4"/>
    </row>
    <row r="15" spans="1:17" ht="24.75" customHeight="1">
      <c r="A15" s="10" t="s">
        <v>16</v>
      </c>
      <c r="B15" s="10"/>
      <c r="C15" s="10"/>
      <c r="D15" s="11" t="s">
        <v>17</v>
      </c>
      <c r="E15" s="12"/>
      <c r="F15" s="12"/>
      <c r="G15" s="12"/>
      <c r="H15" s="12"/>
      <c r="I15" s="12"/>
      <c r="J15" s="12"/>
      <c r="K15" s="12"/>
      <c r="L15" s="4">
        <v>3.52</v>
      </c>
      <c r="M15" s="4">
        <v>1</v>
      </c>
      <c r="N15" s="4">
        <f t="shared" si="9"/>
        <v>3.52</v>
      </c>
      <c r="O15" s="6" t="str">
        <f t="shared" si="8"/>
        <v>LED灯</v>
      </c>
      <c r="P15" s="4"/>
      <c r="Q15" s="4"/>
    </row>
    <row r="16" spans="1:17" ht="24.75" customHeight="1">
      <c r="A16" s="10" t="s">
        <v>18</v>
      </c>
      <c r="B16" s="10"/>
      <c r="C16" s="10"/>
      <c r="D16" s="11" t="s">
        <v>19</v>
      </c>
      <c r="E16" s="12"/>
      <c r="F16" s="12"/>
      <c r="G16" s="12"/>
      <c r="H16" s="12"/>
      <c r="I16" s="12"/>
      <c r="J16" s="12"/>
      <c r="K16" s="12"/>
      <c r="L16" s="4">
        <v>2.2000000000000002</v>
      </c>
      <c r="M16" s="4">
        <v>1</v>
      </c>
      <c r="N16" s="4">
        <f t="shared" si="9"/>
        <v>2.2000000000000002</v>
      </c>
      <c r="O16" s="6" t="str">
        <f t="shared" si="8"/>
        <v>限流电阻</v>
      </c>
      <c r="P16" s="4"/>
      <c r="Q16" s="4"/>
    </row>
    <row r="17" spans="1:15" ht="23.45" customHeight="1">
      <c r="A17" s="10" t="s">
        <v>12</v>
      </c>
      <c r="B17" s="10"/>
      <c r="C17" s="10"/>
      <c r="D17" s="11" t="s">
        <v>13</v>
      </c>
      <c r="E17" s="12"/>
      <c r="F17" s="12"/>
      <c r="G17" s="12"/>
      <c r="H17" s="12"/>
      <c r="I17" s="12"/>
      <c r="J17" s="12"/>
      <c r="K17" s="12"/>
      <c r="L17" s="4">
        <v>3.8</v>
      </c>
      <c r="M17" s="4">
        <v>1</v>
      </c>
      <c r="N17" s="4">
        <f t="shared" si="9"/>
        <v>3.8</v>
      </c>
      <c r="O17" s="6" t="str">
        <f t="shared" si="8"/>
        <v>按键</v>
      </c>
    </row>
    <row r="18" spans="1:15" ht="24.75" customHeight="1">
      <c r="A18" s="10" t="s">
        <v>10</v>
      </c>
      <c r="B18" s="10"/>
      <c r="C18" s="10"/>
      <c r="D18" s="11" t="s">
        <v>11</v>
      </c>
      <c r="E18" s="12"/>
      <c r="F18" s="12"/>
      <c r="G18" s="12"/>
      <c r="H18" s="12"/>
      <c r="I18" s="12"/>
      <c r="J18" s="12"/>
      <c r="K18" s="12"/>
      <c r="L18" s="4">
        <v>20</v>
      </c>
      <c r="M18" s="4">
        <v>1</v>
      </c>
      <c r="N18" s="4">
        <f t="shared" si="9"/>
        <v>20</v>
      </c>
      <c r="O18" s="6" t="str">
        <f t="shared" si="8"/>
        <v>PCB打板</v>
      </c>
    </row>
    <row r="19" spans="1:15" ht="23.25" customHeight="1">
      <c r="A19" s="7" t="s">
        <v>6</v>
      </c>
      <c r="B19" s="14">
        <f>SUM(N3:N18)</f>
        <v>152.66000000000003</v>
      </c>
      <c r="C19" s="1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2" spans="1:15" ht="14.1" customHeight="1">
      <c r="H22" s="5"/>
    </row>
  </sheetData>
  <mergeCells count="36">
    <mergeCell ref="A1:O1"/>
    <mergeCell ref="D2:K2"/>
    <mergeCell ref="A2:C2"/>
    <mergeCell ref="D16:K16"/>
    <mergeCell ref="A3:C3"/>
    <mergeCell ref="D3:K3"/>
    <mergeCell ref="A12:C12"/>
    <mergeCell ref="D12:K12"/>
    <mergeCell ref="A8:C8"/>
    <mergeCell ref="D8:K8"/>
    <mergeCell ref="A7:C7"/>
    <mergeCell ref="D7:K7"/>
    <mergeCell ref="A15:C15"/>
    <mergeCell ref="D15:K15"/>
    <mergeCell ref="A16:C16"/>
    <mergeCell ref="A14:C14"/>
    <mergeCell ref="D14:K14"/>
    <mergeCell ref="B19:C19"/>
    <mergeCell ref="A17:C17"/>
    <mergeCell ref="D17:K17"/>
    <mergeCell ref="A18:C18"/>
    <mergeCell ref="D18:K18"/>
    <mergeCell ref="A13:C13"/>
    <mergeCell ref="D13:K13"/>
    <mergeCell ref="A4:C4"/>
    <mergeCell ref="D4:K4"/>
    <mergeCell ref="A9:C9"/>
    <mergeCell ref="D9:K9"/>
    <mergeCell ref="A6:C6"/>
    <mergeCell ref="D6:K6"/>
    <mergeCell ref="A5:C5"/>
    <mergeCell ref="D5:K5"/>
    <mergeCell ref="A11:C11"/>
    <mergeCell ref="D11:K11"/>
    <mergeCell ref="A10:C10"/>
    <mergeCell ref="D10:K10"/>
  </mergeCells>
  <phoneticPr fontId="8" type="noConversion"/>
  <hyperlinks>
    <hyperlink ref="D13" r:id="rId1" xr:uid="{E1C99CC8-A812-4496-AFD3-515560C6D72E}"/>
    <hyperlink ref="D17" r:id="rId2" xr:uid="{886AD18D-C573-49BF-8996-BBCAEF34F805}"/>
    <hyperlink ref="D14" r:id="rId3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11A7B6AF-40D4-4669-A23A-6DC8FEC0EFBD}"/>
    <hyperlink ref="D15" r:id="rId4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16" r:id="rId5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3" r:id="rId6" display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xr:uid="{1F3CCA0B-90D3-47FE-8A99-772E1995C43D}"/>
    <hyperlink ref="D4" r:id="rId7" display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xr:uid="{46BED750-E1C1-4F12-BE82-EB7BB64AAC29}"/>
    <hyperlink ref="D12" r:id="rId8" display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xr:uid="{743A2379-E081-4133-AB63-7F4477EDFF47}"/>
    <hyperlink ref="D10" r:id="rId9" display="https://item.taobao.com/item.htm?abbucket=10&amp;id=651806406945&amp;mi_id=0000dWyfVEgHrjoWz5NHkQoSwVuTbk3SBC6Om_hmSpCXnwI&amp;ns=1&amp;priceTId=2150455817763456530316297e1253&amp;skuId=4875243075023&amp;spm=a21n57.1.hoverItem.8&amp;utparam=%7B%22aplus_abtest%22%3A%2283098b74bc61ff11a6150028bcc85338%22%7D&amp;xxc=taobaoSearch" xr:uid="{C3D33B4D-84EA-44A3-A3E7-B05155658CB1}"/>
    <hyperlink ref="D11" r:id="rId10" display="https://detail.tmall.com/item.htm?abbucket=10&amp;id=539749232497&amp;mi_id=0000AqcZjJ7-Z4z19DJ7jAGyP7CHQ5pnYJJdgjXQN4HTmQc&amp;ns=1&amp;priceTId=2150455817763457762638995e1253&amp;skuId=5358360118676&amp;spm=a21n57.1.hoverItem.3&amp;utparam=%7B%22aplus_abtest%22%3A%225787d8f268df2d9bee0bc325c7f6e1ff%22%7D&amp;xxc=taobaoSearch" xr:uid="{24F0EA66-1B86-4BEA-9AB0-2339B511A736}"/>
    <hyperlink ref="D5" r:id="rId11" display="https://detail.tmall.com/item.htm?abbucket=10&amp;id=649962540067&amp;mi_id=0000KWnd8wUvMeckH6zIaiOHZk6RDos5Dwmii09n5b4UQJM&amp;ns=1&amp;priceTId=213e071b17772088883625484e106a&amp;skuId=4861419570501&amp;spm=a21n57.1.hoverItem.41&amp;utparam=%7B%22aplus_abtest%22%3A%2201c456d85fb0e7c36b6098cfe6c142bb%22%7D&amp;xxc=taobaoSearch" xr:uid="{7A0B764E-0DEE-4788-9F67-97ADEB702B57}"/>
    <hyperlink ref="D7" r:id="rId12" display="https://item.taobao.com/item.htm?abbucket=10&amp;id=543468772547&amp;mi_id=0000_-GgDSW6L4_LTPP9kotaEot7RVmCW6DBhPLNztb9Bu4&amp;ns=1&amp;priceTId=213e071b17772092539954829e106a&amp;skuId=4994815692417&amp;spm=a21n57.1.hoverItem.3&amp;utparam=%7B%22aplus_abtest%22%3A%226df27be0208b902e7b985e0b13504ef9%22%7D&amp;xxc=taobaoSearch" xr:uid="{777B747F-7114-43B0-8B91-CC6D9B726B58}"/>
    <hyperlink ref="D8" r:id="rId13" display="https://item.taobao.com/item.htm?abbucket=10&amp;id=597981154375&amp;mi_id=0000cqFSphCOqPWn4wmWTMFWkwQEU3iQtASQXIxm5HHXJ-8&amp;ns=1&amp;priceTId=213e071b17772093034192251e106a&amp;skuId=4173807552072&amp;spm=a21n57.1.hoverItem.21&amp;utparam=%7B%22aplus_abtest%22%3A%2244a674b7c5ebe9481b92957e325d8c70%22%7D&amp;xxc=taobaoSearch" xr:uid="{F2052503-3A14-4CDB-A29D-1C0808D249DF}"/>
    <hyperlink ref="D9" r:id="rId14" display="https://detail.tmall.com/item.htm?abbucket=10&amp;id=41251333522&amp;mi_id=0000AIvIH6Up9Wljp6Y8_djkvouULAnMuj-lCBozbehu3pc&amp;ns=1&amp;skuId=4323951807546&amp;spm=a21n57.1.hoverItem.23&amp;utparam=%7B%22aplus_abtest%22%3A%22efa1f13a19dec7fda6b43515a256c614%22%7D&amp;xxc=taobaoSearch" xr:uid="{C3193776-E291-4D41-A952-E6D9418AD226}"/>
  </hyperlinks>
  <pageMargins left="0.75" right="0.75" top="1" bottom="1" header="0.51180555555555596" footer="0.51180555555555596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2026-04-26T13:22:15Z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