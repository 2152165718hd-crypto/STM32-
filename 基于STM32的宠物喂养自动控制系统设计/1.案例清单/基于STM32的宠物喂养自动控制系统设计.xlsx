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4.1\基于STM32的宠物喂养自动控制系统设计\1.清单\"/>
    </mc:Choice>
  </mc:AlternateContent>
  <xr:revisionPtr revIDLastSave="0" documentId="13_ncr:1_{1E7B0669-4853-4B10-8879-4E48488FEBAB}" xr6:coauthVersionLast="47" xr6:coauthVersionMax="47" xr10:uidLastSave="{00000000-0000-0000-0000-000000000000}"/>
  <bookViews>
    <workbookView xWindow="1215" yWindow="1860" windowWidth="21600" windowHeight="1183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8" i="1" l="1"/>
  <c r="O20" i="1"/>
  <c r="O19" i="1"/>
  <c r="O17" i="1"/>
  <c r="N17" i="1"/>
  <c r="O16" i="1"/>
  <c r="N16" i="1"/>
  <c r="O14" i="1"/>
  <c r="N14" i="1"/>
  <c r="O15" i="1"/>
  <c r="N15" i="1"/>
  <c r="O9" i="1"/>
  <c r="O10" i="1"/>
  <c r="O11" i="1"/>
  <c r="O12" i="1"/>
  <c r="O13" i="1"/>
  <c r="O8" i="1"/>
  <c r="N4" i="1"/>
  <c r="N5" i="1"/>
  <c r="N6" i="1"/>
  <c r="N7" i="1"/>
  <c r="N8" i="1"/>
  <c r="N9" i="1"/>
  <c r="N10" i="1"/>
  <c r="N11" i="1"/>
  <c r="N12" i="1"/>
  <c r="N13" i="1"/>
  <c r="N3" i="1"/>
  <c r="B25" i="1" l="1"/>
</calcChain>
</file>

<file path=xl/sharedStrings.xml><?xml version="1.0" encoding="utf-8"?>
<sst xmlns="http://schemas.openxmlformats.org/spreadsheetml/2006/main" count="61" uniqueCount="51">
  <si>
    <t>型号</t>
  </si>
  <si>
    <t>链接</t>
  </si>
  <si>
    <t>单价</t>
  </si>
  <si>
    <t>数量</t>
  </si>
  <si>
    <t>单价总价</t>
  </si>
  <si>
    <t>备注</t>
  </si>
  <si>
    <t>总计</t>
  </si>
  <si>
    <t>JQ8400智能语音播报器模块</t>
  </si>
  <si>
    <t>STM32F103C8T6核心开发板</t>
  </si>
  <si>
    <t>0.96寸白色OLED模块</t>
  </si>
  <si>
    <t>DHT11 数字温湿度传感器模块</t>
  </si>
  <si>
    <t>腔体喇叭扬声器</t>
  </si>
  <si>
    <t>CMSIS DAP/DAPLink仿真器</t>
  </si>
  <si>
    <t>PCB打板</t>
  </si>
  <si>
    <t>嘉立创PCB打板</t>
  </si>
  <si>
    <t>按键</t>
  </si>
  <si>
    <t>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</t>
  </si>
  <si>
    <t>排母</t>
  </si>
  <si>
    <t>LED灯</t>
  </si>
  <si>
    <t>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</t>
  </si>
  <si>
    <t>LED</t>
  </si>
  <si>
    <t>限流电阻</t>
  </si>
  <si>
    <t>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</t>
  </si>
  <si>
    <t>基于STM32的宠物喂养自动控制系统设计采购清单</t>
  </si>
  <si>
    <t>https://detail.tmall.com/item.htm?ali_refid=a3_420434_1006%3A2725910787%3AH%3AAgY6BiqKN46M8bkED1bS1t%2BxlpX4vNy3%3A496baaa814557ee0ed16b84e5c45446e&amp;ali_trackid=282_496baaa814557ee0ed16b84e5c45446e&amp;id=1035649520042&amp;mi_id=0000mpNL3SAVuP-TwWSA21NudA6oSMKuy6VQYqirqzvqUtA&amp;mm_sceneid=1_0_9988748269_0&amp;priceTId=213e07db17758137303397995e127a&amp;spm=a21n57.1.hoverItem.14&amp;utparam=%7B%22aplus_abtest%22%3A%220e5535b435632474d28a06e6b66f7708%22%7D&amp;xxc=ad_ztc</t>
  </si>
  <si>
    <t>https://detail.tmall.com/item.htm?ali_refid=a3_430582_1006%3A1303560141%3AH%3ABt664A9f4LgL69LZxL%2Biz4rxguGcfBp1rxow4qUDZaA%3D%3Ab7566a3b8d73efcc31c4622fb674b825&amp;ali_trackid=318_b7566a3b8d73efcc31c4622fb674b825&amp;id=676843581731&amp;mi_id=0000XR0h2BLXAHwL7-eAM5la7JZDwb6y7EX6H4iLSTAoz3k&amp;mm_sceneid=0_0_727720075_0&amp;priceTId=214781bc17758139358803732e1040&amp;skuId=5064710945904&amp;spm=a21n57.1.hoverItem.1&amp;utparam=%7B%22aplus_abtest%22%3A%2262117619f600c65d5cc81605392925ab%22%7D&amp;xxc=ad_ztc</t>
  </si>
  <si>
    <t>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</t>
  </si>
  <si>
    <t>https://item.taobao.com/item.htm?abbucket=10&amp;id=993770665281&amp;mi_id=0000yvk4SnTG1iacDyUD3_D9zJyF9dDRwo1j3-pBKFjWmnI&amp;ns=1&amp;priceTId=214781bc17758141518407929e1040&amp;skuId=6133991990501&amp;spm=a21n57.1.hoverItem.2&amp;utparam=%7B%22aplus_abtest%22%3A%2227918c0065a455035be55597ad72cf83%22%7D&amp;xxc=taobaoSearch</t>
  </si>
  <si>
    <t>https://detail.tmall.com/item.htm?ali_refid=a3_430582_1006%3A2196948685%3AH%3AW7p1czrgxtMSQ7mfBuw9h3ahdFvQYGOd%3Ae3dbca8337b8aa8db245345086143ba8&amp;ali_trackid=318_e3dbca8337b8aa8db245345086143ba8&amp;id=868349997982&amp;mi_id=0000_sprHfQTNKLIPipNS4-AkeY6XH_qW0N5JXveCjV5PI0&amp;mm_sceneid=0_0_7227879064_0&amp;priceTId=214781bc17758142653346114e1040&amp;skuId=5864315643030&amp;spm=a21n57.1.hoverItem.1&amp;utparam=%7B%22aplus_abtest%22%3A%2297e2e369efc2059c631367f041877e80%22%7D&amp;xxc=ad_ztc</t>
  </si>
  <si>
    <t>重量传感器</t>
  </si>
  <si>
    <t>https://detail.tmall.com/item.htm?abbucket=10&amp;id=866695874313&amp;mi_id=0000xcBushsq9bnEws2TKYuess_2bGST4olZRAHMtMe2244&amp;ns=1&amp;priceTId=214781bc17758145592155613e1040&amp;skuId=6053185990860&amp;spm=a21n57.1.hoverItem.4&amp;utparam=%7B%22aplus_abtest%22%3A%221e04d912a20431bd0ebafb2d7c8bb384%22%7D&amp;xxc=taobaoSearch</t>
  </si>
  <si>
    <t>水位传感器</t>
  </si>
  <si>
    <t>https://item.taobao.com/item.htm?abbucket=10&amp;id=522574625874&amp;mi_id=0000nAXy0iItAE6rVHylZ1aP5Z521qbdAMp1-IW_yHwdCX8&amp;ns=1&amp;priceTId=214781bc17758147005877221e1040&amp;spm=a21n57.1.hoverItem.2&amp;utparam=%7B%22aplus_abtest%22%3A%22c138d3b2327dc9cab89370c09e265776%22%7D&amp;xxc=taobaoSearch</t>
  </si>
  <si>
    <t>风扇</t>
  </si>
  <si>
    <t>舵机</t>
  </si>
  <si>
    <t>https://item.taobao.com/item.htm?abbucket=10&amp;id=1016474722460&amp;mi_id=0000j8yOi0SVQF7eK4GQIQhzaooUK12lwANT-WFO9zjSTv4&amp;ns=1&amp;priceTId=214781bc17758148825801613e1040&amp;skuId=6025651849263&amp;spm=a21n57.1.hoverItem.2&amp;utparam=%7B%22aplus_abtest%22%3A%227826e35203948d61daa52e0056133554%22%7D&amp;xxc=taobaoSearch</t>
  </si>
  <si>
    <t>超声波</t>
  </si>
  <si>
    <t>https://item.taobao.com/item.htm?abbucket=10&amp;id=606445673789&amp;mi_id=00009VYYOwgJcMjdKasvrUFR1_S3mJs9GBBmppiCDBa3tEc&amp;ns=1&amp;priceTId=214781bc17758149269454084e1040&amp;spm=a21n57.1.hoverItem.2&amp;utparam=%7B%22aplus_abtest%22%3A%226aded9ead04f32f24b842558ef474b56%22%7D&amp;xxc=taobaoSearch</t>
  </si>
  <si>
    <t>https://item.taobao.com/item.htm?ali_refid=a3_430582_1006%3A1103003568%3AH%3AL8rBHiODDfvO5%2BnrhvdOtg%3D%3D%3A66a9a88c67423fbd39bceb8b221940d5&amp;ali_trackid=282_66a9a88c67423fbd39bceb8b221940d5&amp;id=652108165744&amp;mi_id=0000u2EBieNI41jXVyibJY7tNu853pvch93A45NLHQbqzzU&amp;mm_sceneid=1_0_17671336_0&amp;priceTId=214781bc17758149991898147e1040&amp;skuId=4702577696167&amp;spm=a21n57.1.hoverItem.1&amp;utparam=%7B%22aplus_abtest%22%3A%227c3b514243c7a804948614ad7b850cbc%22%7D&amp;xxc=ad_ztc</t>
  </si>
  <si>
    <t>水泵</t>
  </si>
  <si>
    <t>https://item.taobao.com/item.htm?abbucket=10&amp;id=943164699167&amp;mi_id=0000tVzU-bGyIrNOnaRdFR9alM4uk41qHW1ywc5iHkRR5bQ&amp;ns=1&amp;spm=a21n57.1.hoverItem.4&amp;utparam=%7B%22aplus_abtest%22%3A%22ee4a21166833ec07560227c481b26f4b%22%7D&amp;xxc=taobaoSearch</t>
  </si>
  <si>
    <t>光照传感器</t>
  </si>
  <si>
    <t>https://item.taobao.com/item.htm?abbucket=10&amp;id=534864472150&amp;mi_id=0000j_gARigZwV_xzrSe0cK9r-xuCLyaGEaCDi32icuEzVw&amp;ns=1&amp;priceTId=2147844f17758155617976678e13e2&amp;spm=a21n57.1.hoverItem.2&amp;utparam=%7B%22aplus_abtest%22%3A%22af50acaa691fd9c9b245ac4b49fe9c0e%22%7D&amp;xxc=taobaoSearch</t>
  </si>
  <si>
    <t>空气质量传感器</t>
  </si>
  <si>
    <t>https://item.taobao.com/item.htm?abbucket=10&amp;id=718803061339&amp;mi_id=0000q9fwxkdQi83msK8H2lQB2WYT1IUn63ye4sRZLz59GgY&amp;ns=1&amp;priceTId=2147844f17758156503424647e13e2&amp;skuId=5863378488376&amp;spm=a21n57.1.hoverItem.2&amp;utparam=%7B%22aplus_abtest%22%3A%22cb5ac9f1bae52e1ea5d28d10934b2418%22%7D&amp;xxc=taobaoSearch</t>
  </si>
  <si>
    <t>4g模块</t>
  </si>
  <si>
    <t>蜂鸣器</t>
  </si>
  <si>
    <t>https://item.taobao.com/item.htm?abbucket=10&amp;id=522572589576&amp;mi_id=0000hF0a5k0k7ThcCSB_RnzUfnyOwhV59NcTOovMSNfiD1U&amp;ns=1&amp;priceTId=2147844f17758163481972239e13e2&amp;spm=a21n57.1.hoverItem.2&amp;utparam=%7B%22aplus_abtest%22%3A%22ce2368428cc2f611b1ad06b720a4b7c2%22%7D&amp;xxc=taobaoSearch</t>
  </si>
  <si>
    <t>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</t>
  </si>
  <si>
    <t>https://item.taobao.com/item.htm?abbucket=10&amp;id=926309190768&amp;mi_id=0000P9JGexIaPjUMUydDKLaQloequKJi59nIBOKsSfrAokQ&amp;ns=1&amp;priceTId=2147844f17758164399817241e13e2&amp;skuId=5806927912860&amp;spm=a21n57.1.hoverItem.14&amp;utparam=%7B%22aplus_abtest%22%3A%22ecf5c6a04da0207d1b7f8de24dd7a50c%22%7D&amp;xxc=taobaoSearch</t>
  </si>
  <si>
    <t>加湿模块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</si>
</sst>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serif"/>
    </font>
    <font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1" applyFill="1" applyBorder="1">
      <alignment vertical="center"/>
    </xf>
    <xf numFmtId="0" fontId="0" fillId="0" borderId="1" xfId="0" applyFill="1" applyBorder="1">
      <alignment vertical="center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0&amp;id=866695874313&amp;mi_id=0000xcBushsq9bnEws2TKYuess_2bGST4olZRAHMtMe2244&amp;ns=1&amp;priceTId=214781bc17758145592155613e1040&amp;skuId=6053185990860&amp;spm=a21n57.1.hoverItem.4&amp;utparam=%7B%22aplus_abtest%22%3A%221e04d912a20431bd0ebafb2d7c8bb384%22%7D&amp;xxc=taobaoSearch" TargetMode="External"/><Relationship Id="rId13" Type="http://schemas.openxmlformats.org/officeDocument/2006/relationships/hyperlink" Target="https://item.taobao.com/item.htm?ali_refid=a3_430582_1006%3A1103003568%3AH%3AL8rBHiODDfvO5%2BnrhvdOtg%3D%3D%3A66a9a88c67423fbd39bceb8b221940d5&amp;ali_trackid=282_66a9a88c67423fbd39bceb8b221940d5&amp;id=652108165744&amp;mi_id=0000u2EBieNI41jXVyibJY7tNu853pvch93A45NLHQbqzzU&amp;mm_sceneid=1_0_17671336_0&amp;priceTId=214781bc17758149991898147e1040&amp;skuId=4702577696167&amp;spm=a21n57.1.hoverItem.1&amp;utparam=%7B%22aplus_abtest%22%3A%227c3b514243c7a804948614ad7b850cbc%22%7D&amp;xxc=ad_ztc" TargetMode="External"/><Relationship Id="rId18" Type="http://schemas.openxmlformats.org/officeDocument/2006/relationships/hyperlink" Target="https://item.taobao.com/item.htm?abbucket=10&amp;id=926309190768&amp;mi_id=0000P9JGexIaPjUMUydDKLaQloequKJi59nIBOKsSfrAokQ&amp;ns=1&amp;priceTId=2147844f17758164399817241e13e2&amp;skuId=5806927912860&amp;spm=a21n57.1.hoverItem.14&amp;utparam=%7B%22aplus_abtest%22%3A%22ecf5c6a04da0207d1b7f8de24dd7a50c%22%7D&amp;xxc=taobaoSearch" TargetMode="External"/><Relationship Id="rId3" Type="http://schemas.openxmlformats.org/officeDocument/2006/relationships/hyperlink" Target="https://detail.tmall.com/item.htm?ali_refid=a3_420434_1006%3A2725910787%3AH%3AAgY6BiqKN46M8bkED1bS1t%2BxlpX4vNy3%3A496baaa814557ee0ed16b84e5c45446e&amp;ali_trackid=282_496baaa814557ee0ed16b84e5c45446e&amp;id=1035649520042&amp;mi_id=0000mpNL3SAVuP-TwWSA21NudA6oSMKuy6VQYqirqzvqUtA&amp;mm_sceneid=1_0_9988748269_0&amp;priceTId=213e07db17758137303397995e127a&amp;spm=a21n57.1.hoverItem.14&amp;utparam=%7B%22aplus_abtest%22%3A%220e5535b435632474d28a06e6b66f7708%22%7D&amp;xxc=ad_ztc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detail.tmall.com/item.htm?ali_refid=a3_430582_1006%3A2196948685%3AH%3AW7p1czrgxtMSQ7mfBuw9h3ahdFvQYGOd%3Ae3dbca8337b8aa8db245345086143ba8&amp;ali_trackid=318_e3dbca8337b8aa8db245345086143ba8&amp;id=868349997982&amp;mi_id=0000_sprHfQTNKLIPipNS4-AkeY6XH_qW0N5JXveCjV5PI0&amp;mm_sceneid=0_0_7227879064_0&amp;priceTId=214781bc17758142653346114e1040&amp;skuId=5864315643030&amp;spm=a21n57.1.hoverItem.1&amp;utparam=%7B%22aplus_abtest%22%3A%2297e2e369efc2059c631367f041877e80%22%7D&amp;xxc=ad_ztc" TargetMode="External"/><Relationship Id="rId12" Type="http://schemas.openxmlformats.org/officeDocument/2006/relationships/hyperlink" Target="https://item.taobao.com/item.htm?abbucket=10&amp;id=606445673789&amp;mi_id=00009VYYOwgJcMjdKasvrUFR1_S3mJs9GBBmppiCDBa3tEc&amp;ns=1&amp;priceTId=214781bc17758149269454084e1040&amp;spm=a21n57.1.hoverItem.2&amp;utparam=%7B%22aplus_abtest%22%3A%226aded9ead04f32f24b842558ef474b56%22%7D&amp;xxc=taobaoSearch" TargetMode="External"/><Relationship Id="rId17" Type="http://schemas.openxmlformats.org/officeDocument/2006/relationships/hyperlink" Target="https://item.taobao.com/item.htm?abbucket=10&amp;id=522572589576&amp;mi_id=0000hF0a5k0k7ThcCSB_RnzUfnyOwhV59NcTOovMSNfiD1U&amp;ns=1&amp;priceTId=2147844f17758163481972239e13e2&amp;spm=a21n57.1.hoverItem.2&amp;utparam=%7B%22aplus_abtest%22%3A%22ce2368428cc2f611b1ad06b720a4b7c2%22%7D&amp;xxc=taobaoSearch" TargetMode="External"/><Relationship Id="rId2" Type="http://schemas.openxmlformats.org/officeDocument/2006/relationships/hyperlink" Target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TargetMode="External"/><Relationship Id="rId16" Type="http://schemas.openxmlformats.org/officeDocument/2006/relationships/hyperlink" Target="https://item.taobao.com/item.htm?abbucket=10&amp;id=718803061339&amp;mi_id=0000q9fwxkdQi83msK8H2lQB2WYT1IUn63ye4sRZLz59GgY&amp;ns=1&amp;priceTId=2147844f17758156503424647e13e2&amp;skuId=5863378488376&amp;spm=a21n57.1.hoverItem.2&amp;utparam=%7B%22aplus_abtest%22%3A%22cb5ac9f1bae52e1ea5d28d10934b2418%22%7D&amp;xxc=taobaoSearch" TargetMode="External"/><Relationship Id="rId20" Type="http://schemas.openxmlformats.org/officeDocument/2006/relationships/hyperlink" Target="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" TargetMode="External"/><Relationship Id="rId1" Type="http://schemas.openxmlformats.org/officeDocument/2006/relationships/hyperlink" Target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TargetMode="External"/><Relationship Id="rId6" Type="http://schemas.openxmlformats.org/officeDocument/2006/relationships/hyperlink" Target="https://item.taobao.com/item.htm?abbucket=10&amp;id=993770665281&amp;mi_id=0000yvk4SnTG1iacDyUD3_D9zJyF9dDRwo1j3-pBKFjWmnI&amp;ns=1&amp;priceTId=214781bc17758141518407929e1040&amp;skuId=6133991990501&amp;spm=a21n57.1.hoverItem.2&amp;utparam=%7B%22aplus_abtest%22%3A%2227918c0065a455035be55597ad72cf83%22%7D&amp;xxc=taobaoSearch" TargetMode="External"/><Relationship Id="rId11" Type="http://schemas.openxmlformats.org/officeDocument/2006/relationships/hyperlink" Target="https://item.taobao.com/item.htm?abbucket=10&amp;id=1016474722460&amp;mi_id=0000j8yOi0SVQF7eK4GQIQhzaooUK12lwANT-WFO9zjSTv4&amp;ns=1&amp;priceTId=214781bc17758148825801613e1040&amp;skuId=6025651849263&amp;spm=a21n57.1.hoverItem.2&amp;utparam=%7B%22aplus_abtest%22%3A%227826e35203948d61daa52e0056133554%22%7D&amp;xxc=taobaoSearch" TargetMode="External"/><Relationship Id="rId5" Type="http://schemas.openxmlformats.org/officeDocument/2006/relationships/hyperlink" Target="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" TargetMode="External"/><Relationship Id="rId15" Type="http://schemas.openxmlformats.org/officeDocument/2006/relationships/hyperlink" Target="https://item.taobao.com/item.htm?abbucket=10&amp;id=534864472150&amp;mi_id=0000j_gARigZwV_xzrSe0cK9r-xuCLyaGEaCDi32icuEzVw&amp;ns=1&amp;priceTId=2147844f17758155617976678e13e2&amp;spm=a21n57.1.hoverItem.2&amp;utparam=%7B%22aplus_abtest%22%3A%22af50acaa691fd9c9b245ac4b49fe9c0e%22%7D&amp;xxc=taobaoSearch" TargetMode="External"/><Relationship Id="rId10" Type="http://schemas.openxmlformats.org/officeDocument/2006/relationships/hyperlink" Target="https://item.taobao.com/item.htm?abbucket=10&amp;id=522574625874&amp;mi_id=0000nAXy0iItAE6rVHylZ1aP5Z521qbdAMp1-IW_yHwdCX8&amp;ns=1&amp;priceTId=214781bc17758147005877221e1040&amp;spm=a21n57.1.hoverItem.2&amp;utparam=%7B%22aplus_abtest%22%3A%22c138d3b2327dc9cab89370c09e265776%22%7D&amp;xxc=taobaoSearch" TargetMode="External"/><Relationship Id="rId19" Type="http://schemas.openxmlformats.org/officeDocument/2006/relationships/hyperlink" Target="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" TargetMode="External"/><Relationship Id="rId4" Type="http://schemas.openxmlformats.org/officeDocument/2006/relationships/hyperlink" Target="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" TargetMode="External"/><Relationship Id="rId9" Type="http://schemas.openxmlformats.org/officeDocument/2006/relationships/hyperlink" Target="https://item.taobao.com/item.htm?abbucket=10&amp;id=522574625874&amp;mi_id=0000nAXy0iItAE6rVHylZ1aP5Z521qbdAMp1-IW_yHwdCX8&amp;ns=1&amp;priceTId=214781bc17758147005877221e1040&amp;spm=a21n57.1.hoverItem.2&amp;utparam=%7B%22aplus_abtest%22%3A%22c138d3b2327dc9cab89370c09e265776%22%7D&amp;xxc=taobaoSearch" TargetMode="External"/><Relationship Id="rId14" Type="http://schemas.openxmlformats.org/officeDocument/2006/relationships/hyperlink" Target="https://item.taobao.com/item.htm?abbucket=10&amp;id=943164699167&amp;mi_id=0000tVzU-bGyIrNOnaRdFR9alM4uk41qHW1ywc5iHkRR5bQ&amp;ns=1&amp;spm=a21n57.1.hoverItem.4&amp;utparam=%7B%22aplus_abtest%22%3A%22ee4a21166833ec07560227c481b26f4b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topLeftCell="A15" zoomScale="130" zoomScaleNormal="130" workbookViewId="0">
      <selection activeCell="A24" sqref="A24:XFD24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4" t="s">
        <v>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7" ht="27.75" customHeight="1">
      <c r="A2" s="16" t="s">
        <v>0</v>
      </c>
      <c r="B2" s="16"/>
      <c r="C2" s="16"/>
      <c r="D2" s="16" t="s">
        <v>1</v>
      </c>
      <c r="E2" s="16"/>
      <c r="F2" s="16"/>
      <c r="G2" s="16"/>
      <c r="H2" s="16"/>
      <c r="I2" s="16"/>
      <c r="J2" s="16"/>
      <c r="K2" s="16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17" t="s">
        <v>7</v>
      </c>
      <c r="B3" s="17"/>
      <c r="C3" s="17"/>
      <c r="D3" s="18" t="s">
        <v>24</v>
      </c>
      <c r="E3" s="16"/>
      <c r="F3" s="16"/>
      <c r="G3" s="16"/>
      <c r="H3" s="16"/>
      <c r="I3" s="16"/>
      <c r="J3" s="16"/>
      <c r="K3" s="16"/>
      <c r="L3" s="4">
        <v>15.09</v>
      </c>
      <c r="M3" s="4">
        <v>1</v>
      </c>
      <c r="N3" s="4">
        <f>L3</f>
        <v>15.09</v>
      </c>
      <c r="O3" s="6" t="s">
        <v>7</v>
      </c>
    </row>
    <row r="4" spans="1:17" ht="26.25" customHeight="1">
      <c r="A4" s="17" t="s">
        <v>8</v>
      </c>
      <c r="B4" s="17"/>
      <c r="C4" s="17"/>
      <c r="D4" s="18" t="s">
        <v>25</v>
      </c>
      <c r="E4" s="18"/>
      <c r="F4" s="18"/>
      <c r="G4" s="18"/>
      <c r="H4" s="18"/>
      <c r="I4" s="18"/>
      <c r="J4" s="18"/>
      <c r="K4" s="18"/>
      <c r="L4" s="4">
        <v>13.95</v>
      </c>
      <c r="M4" s="4">
        <v>1</v>
      </c>
      <c r="N4" s="4">
        <f t="shared" ref="N4:N14" si="0">L4</f>
        <v>13.95</v>
      </c>
      <c r="O4" s="6" t="s">
        <v>8</v>
      </c>
    </row>
    <row r="5" spans="1:17" ht="23.25" customHeight="1">
      <c r="A5" s="17" t="s">
        <v>9</v>
      </c>
      <c r="B5" s="17"/>
      <c r="C5" s="17"/>
      <c r="D5" s="8" t="s">
        <v>26</v>
      </c>
      <c r="E5" s="10"/>
      <c r="F5" s="10"/>
      <c r="G5" s="10"/>
      <c r="H5" s="10"/>
      <c r="I5" s="10"/>
      <c r="J5" s="10"/>
      <c r="K5" s="10"/>
      <c r="L5" s="4">
        <v>13.39</v>
      </c>
      <c r="M5" s="3">
        <v>1</v>
      </c>
      <c r="N5" s="4">
        <f t="shared" si="0"/>
        <v>13.39</v>
      </c>
      <c r="O5" s="4" t="s">
        <v>9</v>
      </c>
    </row>
    <row r="6" spans="1:17" ht="26.25" customHeight="1">
      <c r="A6" s="9" t="s">
        <v>11</v>
      </c>
      <c r="B6" s="9"/>
      <c r="C6" s="9"/>
      <c r="D6" s="8" t="s">
        <v>26</v>
      </c>
      <c r="E6" s="10"/>
      <c r="F6" s="10"/>
      <c r="G6" s="10"/>
      <c r="H6" s="10"/>
      <c r="I6" s="10"/>
      <c r="J6" s="10"/>
      <c r="K6" s="10"/>
      <c r="L6" s="4">
        <v>5.9</v>
      </c>
      <c r="M6" s="4">
        <v>1</v>
      </c>
      <c r="N6" s="4">
        <f t="shared" si="0"/>
        <v>5.9</v>
      </c>
      <c r="O6" s="4" t="s">
        <v>11</v>
      </c>
    </row>
    <row r="7" spans="1:17" ht="24.75" customHeight="1">
      <c r="A7" s="19" t="s">
        <v>10</v>
      </c>
      <c r="B7" s="9"/>
      <c r="C7" s="9"/>
      <c r="D7" s="8" t="s">
        <v>27</v>
      </c>
      <c r="E7" s="10"/>
      <c r="F7" s="10"/>
      <c r="G7" s="10"/>
      <c r="H7" s="10"/>
      <c r="I7" s="10"/>
      <c r="J7" s="10"/>
      <c r="K7" s="10"/>
      <c r="L7" s="4">
        <v>4.5999999999999996</v>
      </c>
      <c r="M7" s="4">
        <v>1</v>
      </c>
      <c r="N7" s="4">
        <f t="shared" si="0"/>
        <v>4.5999999999999996</v>
      </c>
      <c r="O7" s="4" t="s">
        <v>10</v>
      </c>
    </row>
    <row r="8" spans="1:17" ht="24.75" customHeight="1">
      <c r="A8" s="9" t="s">
        <v>29</v>
      </c>
      <c r="B8" s="9"/>
      <c r="C8" s="9"/>
      <c r="D8" s="8" t="s">
        <v>28</v>
      </c>
      <c r="E8" s="10"/>
      <c r="F8" s="10"/>
      <c r="G8" s="10"/>
      <c r="H8" s="10"/>
      <c r="I8" s="10"/>
      <c r="J8" s="10"/>
      <c r="K8" s="10"/>
      <c r="L8" s="4">
        <v>16.8</v>
      </c>
      <c r="M8" s="4">
        <v>1</v>
      </c>
      <c r="N8" s="4">
        <f t="shared" si="0"/>
        <v>16.8</v>
      </c>
      <c r="O8" s="4" t="str">
        <f>A8</f>
        <v>重量传感器</v>
      </c>
    </row>
    <row r="9" spans="1:17" ht="24.75" customHeight="1">
      <c r="A9" s="9" t="s">
        <v>12</v>
      </c>
      <c r="B9" s="9"/>
      <c r="C9" s="9"/>
      <c r="D9" s="8" t="s">
        <v>30</v>
      </c>
      <c r="E9" s="8"/>
      <c r="F9" s="8"/>
      <c r="G9" s="8"/>
      <c r="H9" s="8"/>
      <c r="I9" s="8"/>
      <c r="J9" s="8"/>
      <c r="K9" s="8"/>
      <c r="L9" s="4">
        <v>6.8</v>
      </c>
      <c r="M9" s="4">
        <v>1</v>
      </c>
      <c r="N9" s="4">
        <f t="shared" si="0"/>
        <v>6.8</v>
      </c>
      <c r="O9" s="4" t="str">
        <f t="shared" ref="O9:O20" si="1">A9</f>
        <v>CMSIS DAP/DAPLink仿真器</v>
      </c>
    </row>
    <row r="10" spans="1:17" ht="24.75" customHeight="1">
      <c r="A10" s="9" t="s">
        <v>31</v>
      </c>
      <c r="B10" s="9"/>
      <c r="C10" s="9"/>
      <c r="D10" s="8" t="s">
        <v>32</v>
      </c>
      <c r="E10" s="8"/>
      <c r="F10" s="8"/>
      <c r="G10" s="8"/>
      <c r="H10" s="8"/>
      <c r="I10" s="8"/>
      <c r="J10" s="8"/>
      <c r="K10" s="8"/>
      <c r="L10" s="4">
        <v>2.6</v>
      </c>
      <c r="M10" s="4">
        <v>1</v>
      </c>
      <c r="N10" s="4">
        <f t="shared" si="0"/>
        <v>2.6</v>
      </c>
      <c r="O10" s="4" t="str">
        <f t="shared" si="1"/>
        <v>水位传感器</v>
      </c>
    </row>
    <row r="11" spans="1:17" ht="24.75" customHeight="1">
      <c r="A11" s="9" t="s">
        <v>33</v>
      </c>
      <c r="B11" s="9"/>
      <c r="C11" s="9"/>
      <c r="D11" s="8" t="s">
        <v>32</v>
      </c>
      <c r="E11" s="10"/>
      <c r="F11" s="10"/>
      <c r="G11" s="10"/>
      <c r="H11" s="10"/>
      <c r="I11" s="10"/>
      <c r="J11" s="10"/>
      <c r="K11" s="10"/>
      <c r="L11" s="4">
        <v>7.5</v>
      </c>
      <c r="M11" s="4">
        <v>1</v>
      </c>
      <c r="N11" s="4">
        <f t="shared" si="0"/>
        <v>7.5</v>
      </c>
      <c r="O11" s="4" t="str">
        <f t="shared" si="1"/>
        <v>风扇</v>
      </c>
    </row>
    <row r="12" spans="1:17" ht="24.75" customHeight="1">
      <c r="A12" s="9" t="s">
        <v>34</v>
      </c>
      <c r="B12" s="9"/>
      <c r="C12" s="9"/>
      <c r="D12" s="8" t="s">
        <v>35</v>
      </c>
      <c r="E12" s="10"/>
      <c r="F12" s="10"/>
      <c r="G12" s="10"/>
      <c r="H12" s="10"/>
      <c r="I12" s="10"/>
      <c r="J12" s="10"/>
      <c r="K12" s="10"/>
      <c r="L12" s="4">
        <v>7.4</v>
      </c>
      <c r="M12" s="4">
        <v>1</v>
      </c>
      <c r="N12" s="4">
        <f t="shared" si="0"/>
        <v>7.4</v>
      </c>
      <c r="O12" s="4" t="str">
        <f t="shared" si="1"/>
        <v>舵机</v>
      </c>
      <c r="P12" s="4"/>
      <c r="Q12" s="4"/>
    </row>
    <row r="13" spans="1:17" ht="24.75" customHeight="1">
      <c r="A13" s="9" t="s">
        <v>36</v>
      </c>
      <c r="B13" s="9"/>
      <c r="C13" s="9"/>
      <c r="D13" s="11" t="s">
        <v>37</v>
      </c>
      <c r="E13" s="12"/>
      <c r="F13" s="12"/>
      <c r="G13" s="12"/>
      <c r="H13" s="12"/>
      <c r="I13" s="12"/>
      <c r="J13" s="12"/>
      <c r="K13" s="12"/>
      <c r="L13" s="4">
        <v>6</v>
      </c>
      <c r="M13" s="4">
        <v>1</v>
      </c>
      <c r="N13" s="4">
        <f t="shared" si="0"/>
        <v>6</v>
      </c>
      <c r="O13" s="4" t="str">
        <f t="shared" si="1"/>
        <v>超声波</v>
      </c>
    </row>
    <row r="14" spans="1:17" ht="24.75" customHeight="1">
      <c r="A14" s="9" t="s">
        <v>39</v>
      </c>
      <c r="B14" s="9"/>
      <c r="C14" s="9"/>
      <c r="D14" s="11" t="s">
        <v>38</v>
      </c>
      <c r="E14" s="12"/>
      <c r="F14" s="12"/>
      <c r="G14" s="12"/>
      <c r="H14" s="12"/>
      <c r="I14" s="12"/>
      <c r="J14" s="12"/>
      <c r="K14" s="12"/>
      <c r="L14" s="4">
        <v>18.8</v>
      </c>
      <c r="M14" s="4">
        <v>1</v>
      </c>
      <c r="N14" s="4">
        <f t="shared" si="0"/>
        <v>18.8</v>
      </c>
      <c r="O14" s="4" t="str">
        <f t="shared" si="1"/>
        <v>水泵</v>
      </c>
    </row>
    <row r="15" spans="1:17" ht="24.75" customHeight="1">
      <c r="A15" s="9" t="s">
        <v>41</v>
      </c>
      <c r="B15" s="9"/>
      <c r="C15" s="9"/>
      <c r="D15" s="11" t="s">
        <v>40</v>
      </c>
      <c r="E15" s="12"/>
      <c r="F15" s="12"/>
      <c r="G15" s="12"/>
      <c r="H15" s="12"/>
      <c r="I15" s="12"/>
      <c r="J15" s="12"/>
      <c r="K15" s="12"/>
      <c r="L15" s="4">
        <v>6.79</v>
      </c>
      <c r="M15" s="4">
        <v>1</v>
      </c>
      <c r="N15" s="4">
        <f t="shared" ref="N15:N17" si="2">L15</f>
        <v>6.79</v>
      </c>
      <c r="O15" s="4" t="str">
        <f t="shared" ref="O15:O19" si="3">A15</f>
        <v>光照传感器</v>
      </c>
    </row>
    <row r="16" spans="1:17" ht="24.75" customHeight="1">
      <c r="A16" s="9" t="s">
        <v>43</v>
      </c>
      <c r="B16" s="9"/>
      <c r="C16" s="9"/>
      <c r="D16" s="11" t="s">
        <v>42</v>
      </c>
      <c r="E16" s="12"/>
      <c r="F16" s="12"/>
      <c r="G16" s="12"/>
      <c r="H16" s="12"/>
      <c r="I16" s="12"/>
      <c r="J16" s="12"/>
      <c r="K16" s="12"/>
      <c r="L16" s="4">
        <v>8.1</v>
      </c>
      <c r="M16" s="4">
        <v>1</v>
      </c>
      <c r="N16" s="4">
        <f t="shared" si="2"/>
        <v>8.1</v>
      </c>
      <c r="O16" s="4" t="str">
        <f t="shared" si="3"/>
        <v>空气质量传感器</v>
      </c>
    </row>
    <row r="17" spans="1:17" ht="24.75" customHeight="1">
      <c r="A17" s="9" t="s">
        <v>45</v>
      </c>
      <c r="B17" s="9"/>
      <c r="C17" s="9"/>
      <c r="D17" s="11" t="s">
        <v>44</v>
      </c>
      <c r="E17" s="12"/>
      <c r="F17" s="12"/>
      <c r="G17" s="12"/>
      <c r="H17" s="12"/>
      <c r="I17" s="12"/>
      <c r="J17" s="12"/>
      <c r="K17" s="12"/>
      <c r="L17" s="4">
        <v>29</v>
      </c>
      <c r="M17" s="4">
        <v>1</v>
      </c>
      <c r="N17" s="4">
        <f t="shared" si="2"/>
        <v>29</v>
      </c>
      <c r="O17" s="4" t="str">
        <f t="shared" si="3"/>
        <v>4g模块</v>
      </c>
    </row>
    <row r="18" spans="1:17" ht="24.75" customHeight="1">
      <c r="A18" s="9" t="s">
        <v>46</v>
      </c>
      <c r="B18" s="9"/>
      <c r="C18" s="9"/>
      <c r="D18" s="11" t="s">
        <v>47</v>
      </c>
      <c r="E18" s="12"/>
      <c r="F18" s="12"/>
      <c r="G18" s="12"/>
      <c r="H18" s="12"/>
      <c r="I18" s="12"/>
      <c r="J18" s="12"/>
      <c r="K18" s="12"/>
      <c r="L18" s="4">
        <v>2.9</v>
      </c>
      <c r="M18" s="4">
        <v>1</v>
      </c>
      <c r="N18" s="4">
        <v>2.9</v>
      </c>
      <c r="O18" s="4" t="str">
        <f t="shared" ref="O18" si="4">A18</f>
        <v>蜂鸣器</v>
      </c>
    </row>
    <row r="19" spans="1:17" ht="24.75" customHeight="1">
      <c r="A19" s="9" t="s">
        <v>50</v>
      </c>
      <c r="B19" s="9"/>
      <c r="C19" s="9"/>
      <c r="D19" s="11" t="s">
        <v>49</v>
      </c>
      <c r="E19" s="12"/>
      <c r="F19" s="12"/>
      <c r="G19" s="12"/>
      <c r="H19" s="12"/>
      <c r="I19" s="12"/>
      <c r="J19" s="12"/>
      <c r="K19" s="12"/>
      <c r="L19" s="4">
        <v>15.5</v>
      </c>
      <c r="M19" s="4">
        <v>1</v>
      </c>
      <c r="N19" s="4">
        <v>15.5</v>
      </c>
      <c r="O19" s="4" t="str">
        <f t="shared" si="3"/>
        <v>加湿模块</v>
      </c>
    </row>
    <row r="20" spans="1:17" ht="24.75" customHeight="1">
      <c r="A20" s="9" t="s">
        <v>17</v>
      </c>
      <c r="B20" s="9"/>
      <c r="C20" s="9"/>
      <c r="D20" s="11" t="s">
        <v>48</v>
      </c>
      <c r="E20" s="12"/>
      <c r="F20" s="12"/>
      <c r="G20" s="12"/>
      <c r="H20" s="12"/>
      <c r="I20" s="12"/>
      <c r="J20" s="12"/>
      <c r="K20" s="12"/>
      <c r="L20" s="4">
        <v>4.9000000000000004</v>
      </c>
      <c r="M20" s="4">
        <v>1</v>
      </c>
      <c r="N20" s="4">
        <v>4.9000000000000004</v>
      </c>
      <c r="O20" s="4" t="str">
        <f t="shared" si="1"/>
        <v>排母</v>
      </c>
    </row>
    <row r="21" spans="1:17" ht="24.75" customHeight="1">
      <c r="A21" s="9" t="s">
        <v>18</v>
      </c>
      <c r="B21" s="9"/>
      <c r="C21" s="9"/>
      <c r="D21" s="8" t="s">
        <v>19</v>
      </c>
      <c r="E21" s="10"/>
      <c r="F21" s="10"/>
      <c r="G21" s="10"/>
      <c r="H21" s="10"/>
      <c r="I21" s="10"/>
      <c r="J21" s="10"/>
      <c r="K21" s="10"/>
      <c r="L21" s="4">
        <v>3.52</v>
      </c>
      <c r="M21" s="4">
        <v>1</v>
      </c>
      <c r="N21" s="4">
        <v>3.52</v>
      </c>
      <c r="O21" s="4" t="s">
        <v>20</v>
      </c>
      <c r="P21" s="4"/>
      <c r="Q21" s="4"/>
    </row>
    <row r="22" spans="1:17" ht="24.75" customHeight="1">
      <c r="A22" s="9" t="s">
        <v>21</v>
      </c>
      <c r="B22" s="9"/>
      <c r="C22" s="9"/>
      <c r="D22" s="8" t="s">
        <v>22</v>
      </c>
      <c r="E22" s="10"/>
      <c r="F22" s="10"/>
      <c r="G22" s="10"/>
      <c r="H22" s="10"/>
      <c r="I22" s="10"/>
      <c r="J22" s="10"/>
      <c r="K22" s="10"/>
      <c r="L22" s="4">
        <v>1.35</v>
      </c>
      <c r="M22" s="4">
        <v>1</v>
      </c>
      <c r="N22" s="4">
        <v>1.35</v>
      </c>
      <c r="O22" s="4" t="s">
        <v>21</v>
      </c>
      <c r="P22" s="4"/>
      <c r="Q22" s="4"/>
    </row>
    <row r="23" spans="1:17" ht="23.45" customHeight="1">
      <c r="A23" s="9" t="s">
        <v>15</v>
      </c>
      <c r="B23" s="9"/>
      <c r="C23" s="9"/>
      <c r="D23" s="8" t="s">
        <v>16</v>
      </c>
      <c r="E23" s="10"/>
      <c r="F23" s="10"/>
      <c r="G23" s="10"/>
      <c r="H23" s="10"/>
      <c r="I23" s="10"/>
      <c r="J23" s="10"/>
      <c r="K23" s="10"/>
      <c r="L23" s="4">
        <v>3.8</v>
      </c>
      <c r="M23" s="4">
        <v>1</v>
      </c>
      <c r="N23" s="4">
        <v>3.8</v>
      </c>
      <c r="O23" s="4" t="s">
        <v>15</v>
      </c>
    </row>
    <row r="24" spans="1:17" ht="24.75" customHeight="1">
      <c r="A24" s="9" t="s">
        <v>13</v>
      </c>
      <c r="B24" s="9"/>
      <c r="C24" s="9"/>
      <c r="D24" s="8" t="s">
        <v>14</v>
      </c>
      <c r="E24" s="10"/>
      <c r="F24" s="10"/>
      <c r="G24" s="10"/>
      <c r="H24" s="10"/>
      <c r="I24" s="10"/>
      <c r="J24" s="10"/>
      <c r="K24" s="10"/>
      <c r="L24" s="4">
        <v>20</v>
      </c>
      <c r="M24" s="4">
        <v>1</v>
      </c>
      <c r="N24" s="4">
        <v>20</v>
      </c>
      <c r="O24" s="4" t="s">
        <v>13</v>
      </c>
    </row>
    <row r="25" spans="1:17" ht="23.25" customHeight="1">
      <c r="A25" s="7" t="s">
        <v>6</v>
      </c>
      <c r="B25" s="13">
        <f>SUM(N3:N24)</f>
        <v>214.69000000000003</v>
      </c>
      <c r="C25" s="1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8" spans="1:17" ht="14.1" customHeight="1">
      <c r="H28" s="5"/>
    </row>
  </sheetData>
  <mergeCells count="48">
    <mergeCell ref="A12:C12"/>
    <mergeCell ref="D12:K12"/>
    <mergeCell ref="D17:K17"/>
    <mergeCell ref="A19:C19"/>
    <mergeCell ref="A7:C7"/>
    <mergeCell ref="D7:K7"/>
    <mergeCell ref="A8:C8"/>
    <mergeCell ref="D8:K8"/>
    <mergeCell ref="A10:C10"/>
    <mergeCell ref="D10:K10"/>
    <mergeCell ref="A9:C9"/>
    <mergeCell ref="D9:K9"/>
    <mergeCell ref="A4:C4"/>
    <mergeCell ref="D4:K4"/>
    <mergeCell ref="A5:C5"/>
    <mergeCell ref="D5:K5"/>
    <mergeCell ref="A6:C6"/>
    <mergeCell ref="D6:K6"/>
    <mergeCell ref="A1:O1"/>
    <mergeCell ref="D2:K2"/>
    <mergeCell ref="A2:C2"/>
    <mergeCell ref="A3:C3"/>
    <mergeCell ref="D3:K3"/>
    <mergeCell ref="D22:K22"/>
    <mergeCell ref="A23:C23"/>
    <mergeCell ref="A18:C18"/>
    <mergeCell ref="D18:K18"/>
    <mergeCell ref="B25:C25"/>
    <mergeCell ref="A24:C24"/>
    <mergeCell ref="D24:K24"/>
    <mergeCell ref="D23:K23"/>
    <mergeCell ref="A21:C21"/>
    <mergeCell ref="D21:K21"/>
    <mergeCell ref="A22:C22"/>
    <mergeCell ref="A11:C11"/>
    <mergeCell ref="D11:K11"/>
    <mergeCell ref="A20:C20"/>
    <mergeCell ref="D20:K20"/>
    <mergeCell ref="A13:C13"/>
    <mergeCell ref="D13:K13"/>
    <mergeCell ref="A15:C15"/>
    <mergeCell ref="D15:K15"/>
    <mergeCell ref="A14:C14"/>
    <mergeCell ref="D14:K14"/>
    <mergeCell ref="A16:C16"/>
    <mergeCell ref="D16:K16"/>
    <mergeCell ref="A17:C17"/>
    <mergeCell ref="D19:K19"/>
  </mergeCells>
  <phoneticPr fontId="8" type="noConversion"/>
  <hyperlinks>
    <hyperlink ref="D21" r:id="rId1" display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xr:uid="{0A418541-0F85-431B-BA6C-1D0D620128E0}"/>
    <hyperlink ref="D22" r:id="rId2" display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xr:uid="{73E17930-AFD1-4129-BE72-118E449F51F7}"/>
    <hyperlink ref="D3" r:id="rId3" display="https://detail.tmall.com/item.htm?ali_refid=a3_420434_1006%3A2725910787%3AH%3AAgY6BiqKN46M8bkED1bS1t%2BxlpX4vNy3%3A496baaa814557ee0ed16b84e5c45446e&amp;ali_trackid=282_496baaa814557ee0ed16b84e5c45446e&amp;id=1035649520042&amp;mi_id=0000mpNL3SAVuP-TwWSA21NudA6oSMKuy6VQYqirqzvqUtA&amp;mm_sceneid=1_0_9988748269_0&amp;priceTId=213e07db17758137303397995e127a&amp;spm=a21n57.1.hoverItem.14&amp;utparam=%7B%22aplus_abtest%22%3A%220e5535b435632474d28a06e6b66f7708%22%7D&amp;xxc=ad_ztc" xr:uid="{31F9D93B-8614-48F8-B49B-8B6818AECA15}"/>
    <hyperlink ref="D5" r:id="rId4" display="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" xr:uid="{D05E352A-32E0-454B-8E45-6492463C5C92}"/>
    <hyperlink ref="D6" r:id="rId5" display="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" xr:uid="{5E74CA0C-D046-405E-8A03-1BE134535E96}"/>
    <hyperlink ref="D7" r:id="rId6" display="https://item.taobao.com/item.htm?abbucket=10&amp;id=993770665281&amp;mi_id=0000yvk4SnTG1iacDyUD3_D9zJyF9dDRwo1j3-pBKFjWmnI&amp;ns=1&amp;priceTId=214781bc17758141518407929e1040&amp;skuId=6133991990501&amp;spm=a21n57.1.hoverItem.2&amp;utparam=%7B%22aplus_abtest%22%3A%2227918c0065a455035be55597ad72cf83%22%7D&amp;xxc=taobaoSearch" xr:uid="{BCAEF770-4DBE-4456-85FB-7DC018E03FA9}"/>
    <hyperlink ref="D8" r:id="rId7" display="https://detail.tmall.com/item.htm?ali_refid=a3_430582_1006%3A2196948685%3AH%3AW7p1czrgxtMSQ7mfBuw9h3ahdFvQYGOd%3Ae3dbca8337b8aa8db245345086143ba8&amp;ali_trackid=318_e3dbca8337b8aa8db245345086143ba8&amp;id=868349997982&amp;mi_id=0000_sprHfQTNKLIPipNS4-AkeY6XH_qW0N5JXveCjV5PI0&amp;mm_sceneid=0_0_7227879064_0&amp;priceTId=214781bc17758142653346114e1040&amp;skuId=5864315643030&amp;spm=a21n57.1.hoverItem.1&amp;utparam=%7B%22aplus_abtest%22%3A%2297e2e369efc2059c631367f041877e80%22%7D&amp;xxc=ad_ztc" xr:uid="{25A2BE00-E682-468C-BBE7-67F3B59013AB}"/>
    <hyperlink ref="D9" r:id="rId8" display="https://detail.tmall.com/item.htm?abbucket=10&amp;id=866695874313&amp;mi_id=0000xcBushsq9bnEws2TKYuess_2bGST4olZRAHMtMe2244&amp;ns=1&amp;priceTId=214781bc17758145592155613e1040&amp;skuId=6053185990860&amp;spm=a21n57.1.hoverItem.4&amp;utparam=%7B%22aplus_abtest%22%3A%221e04d912a20431bd0ebafb2d7c8bb384%22%7D&amp;xxc=taobaoSearch" xr:uid="{3F8AFEF6-2DB7-4B2F-8094-2F60C14611FF}"/>
    <hyperlink ref="D10" r:id="rId9" display="https://item.taobao.com/item.htm?abbucket=10&amp;id=522574625874&amp;mi_id=0000nAXy0iItAE6rVHylZ1aP5Z521qbdAMp1-IW_yHwdCX8&amp;ns=1&amp;priceTId=214781bc17758147005877221e1040&amp;spm=a21n57.1.hoverItem.2&amp;utparam=%7B%22aplus_abtest%22%3A%22c138d3b2327dc9cab89370c09e265776%22%7D&amp;xxc=taobaoSearch" xr:uid="{3FF8B9C7-944D-49DC-BF69-8ECDF09FD965}"/>
    <hyperlink ref="D11" r:id="rId10" display="https://item.taobao.com/item.htm?abbucket=10&amp;id=522574625874&amp;mi_id=0000nAXy0iItAE6rVHylZ1aP5Z521qbdAMp1-IW_yHwdCX8&amp;ns=1&amp;priceTId=214781bc17758147005877221e1040&amp;spm=a21n57.1.hoverItem.2&amp;utparam=%7B%22aplus_abtest%22%3A%22c138d3b2327dc9cab89370c09e265776%22%7D&amp;xxc=taobaoSearch" xr:uid="{528C5057-F6FF-4C35-B641-AD3B34D1EAE3}"/>
    <hyperlink ref="D12" r:id="rId11" display="https://item.taobao.com/item.htm?abbucket=10&amp;id=1016474722460&amp;mi_id=0000j8yOi0SVQF7eK4GQIQhzaooUK12lwANT-WFO9zjSTv4&amp;ns=1&amp;priceTId=214781bc17758148825801613e1040&amp;skuId=6025651849263&amp;spm=a21n57.1.hoverItem.2&amp;utparam=%7B%22aplus_abtest%22%3A%227826e35203948d61daa52e0056133554%22%7D&amp;xxc=taobaoSearch" xr:uid="{C349E317-AA03-43DE-AB62-A3EDAB1CF275}"/>
    <hyperlink ref="D13" r:id="rId12" display="https://item.taobao.com/item.htm?abbucket=10&amp;id=606445673789&amp;mi_id=00009VYYOwgJcMjdKasvrUFR1_S3mJs9GBBmppiCDBa3tEc&amp;ns=1&amp;priceTId=214781bc17758149269454084e1040&amp;spm=a21n57.1.hoverItem.2&amp;utparam=%7B%22aplus_abtest%22%3A%226aded9ead04f32f24b842558ef474b56%22%7D&amp;xxc=taobaoSearch" xr:uid="{936D13F8-BCB7-40C7-BF3B-974DB0D68652}"/>
    <hyperlink ref="D14" r:id="rId13" display="https://item.taobao.com/item.htm?ali_refid=a3_430582_1006%3A1103003568%3AH%3AL8rBHiODDfvO5%2BnrhvdOtg%3D%3D%3A66a9a88c67423fbd39bceb8b221940d5&amp;ali_trackid=282_66a9a88c67423fbd39bceb8b221940d5&amp;id=652108165744&amp;mi_id=0000u2EBieNI41jXVyibJY7tNu853pvch93A45NLHQbqzzU&amp;mm_sceneid=1_0_17671336_0&amp;priceTId=214781bc17758149991898147e1040&amp;skuId=4702577696167&amp;spm=a21n57.1.hoverItem.1&amp;utparam=%7B%22aplus_abtest%22%3A%227c3b514243c7a804948614ad7b850cbc%22%7D&amp;xxc=ad_ztc" xr:uid="{CA9ED89D-4878-4514-AF96-EE84E0998DC4}"/>
    <hyperlink ref="D15" r:id="rId14" xr:uid="{0AFFFEDE-ED05-4F05-ACBF-386C7E2E4E30}"/>
    <hyperlink ref="D16" r:id="rId15" display="https://item.taobao.com/item.htm?abbucket=10&amp;id=534864472150&amp;mi_id=0000j_gARigZwV_xzrSe0cK9r-xuCLyaGEaCDi32icuEzVw&amp;ns=1&amp;priceTId=2147844f17758155617976678e13e2&amp;spm=a21n57.1.hoverItem.2&amp;utparam=%7B%22aplus_abtest%22%3A%22af50acaa691fd9c9b245ac4b49fe9c0e%22%7D&amp;xxc=taobaoSearch" xr:uid="{7B5A0388-E1D7-440E-BE3A-54BEE8C0B41D}"/>
    <hyperlink ref="D17" r:id="rId16" display="https://item.taobao.com/item.htm?abbucket=10&amp;id=718803061339&amp;mi_id=0000q9fwxkdQi83msK8H2lQB2WYT1IUn63ye4sRZLz59GgY&amp;ns=1&amp;priceTId=2147844f17758156503424647e13e2&amp;skuId=5863378488376&amp;spm=a21n57.1.hoverItem.2&amp;utparam=%7B%22aplus_abtest%22%3A%22cb5ac9f1bae52e1ea5d28d10934b2418%22%7D&amp;xxc=taobaoSearch" xr:uid="{82B8D651-571B-40C2-8288-65589AB13E40}"/>
    <hyperlink ref="D18" r:id="rId17" display="https://item.taobao.com/item.htm?abbucket=10&amp;id=522572589576&amp;mi_id=0000hF0a5k0k7ThcCSB_RnzUfnyOwhV59NcTOovMSNfiD1U&amp;ns=1&amp;priceTId=2147844f17758163481972239e13e2&amp;spm=a21n57.1.hoverItem.2&amp;utparam=%7B%22aplus_abtest%22%3A%22ce2368428cc2f611b1ad06b720a4b7c2%22%7D&amp;xxc=taobaoSearch" xr:uid="{264424C6-1BFA-44F0-8AFD-63F4BAC771FD}"/>
    <hyperlink ref="D19" r:id="rId18" display="https://item.taobao.com/item.htm?abbucket=10&amp;id=926309190768&amp;mi_id=0000P9JGexIaPjUMUydDKLaQloequKJi59nIBOKsSfrAokQ&amp;ns=1&amp;priceTId=2147844f17758164399817241e13e2&amp;skuId=5806927912860&amp;spm=a21n57.1.hoverItem.14&amp;utparam=%7B%22aplus_abtest%22%3A%22ecf5c6a04da0207d1b7f8de24dd7a50c%22%7D&amp;xxc=taobaoSearch" xr:uid="{64CB8FD7-DC6C-4D82-8D49-4D9809530E74}"/>
    <hyperlink ref="D20" r:id="rId19" display="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" xr:uid="{EB6043E5-4B32-4D6C-BC9E-20890599B6BD}"/>
    <hyperlink ref="D23" r:id="rId20" xr:uid="{802C48E3-88AC-44C6-A929-1907B01DE4F5}"/>
  </hyperlinks>
  <pageMargins left="0.75" right="0.75" top="1" bottom="1" header="0.51180555555555596" footer="0.51180555555555596"/>
  <pageSetup paperSize="9"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2026-04-10T12:50:45Z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