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15\基于单片机的机房综合监控系统设计与实现\1.案例清单\"/>
    </mc:Choice>
  </mc:AlternateContent>
  <xr:revisionPtr revIDLastSave="0" documentId="13_ncr:1_{F613368D-7252-47E8-9848-2062CCBCA16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5" i="1"/>
  <c r="N6" i="1"/>
  <c r="N7" i="1"/>
  <c r="N8" i="1"/>
  <c r="N9" i="1"/>
  <c r="N10" i="1"/>
  <c r="B18" i="1" s="1"/>
  <c r="N11" i="1"/>
  <c r="N5" i="1"/>
  <c r="O12" i="1"/>
  <c r="O13" i="1"/>
  <c r="N3" i="1"/>
  <c r="N4" i="1"/>
</calcChain>
</file>

<file path=xl/sharedStrings.xml><?xml version="1.0" encoding="utf-8"?>
<sst xmlns="http://schemas.openxmlformats.org/spreadsheetml/2006/main" count="44" uniqueCount="40">
  <si>
    <t>型号</t>
  </si>
  <si>
    <t>链接</t>
  </si>
  <si>
    <t>单价</t>
  </si>
  <si>
    <t>数量</t>
  </si>
  <si>
    <t>单价总价</t>
  </si>
  <si>
    <t>备注</t>
  </si>
  <si>
    <t>总计</t>
  </si>
  <si>
    <t>STM32F103C8T6核心开发板</t>
  </si>
  <si>
    <t>0.96寸白色OLED模块</t>
  </si>
  <si>
    <t>PCB打板</t>
  </si>
  <si>
    <t>嘉立创PCB打板</t>
  </si>
  <si>
    <t>按键</t>
  </si>
  <si>
    <t>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</t>
  </si>
  <si>
    <t>排母</t>
  </si>
  <si>
    <t>LED灯</t>
  </si>
  <si>
    <t>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</t>
  </si>
  <si>
    <t>LED</t>
  </si>
  <si>
    <t>限流电阻</t>
  </si>
  <si>
    <t>https://detail.tmall.com/item.htm?ali_refid=a3_430582_1006%3A1303560141%3AH%3ABt664A9f4LgL69LZxL%2Biz4rxguGcfBp1rxow4qUDZaA%3D%3Ab7566a3b8d73efcc31c4622fb674b825&amp;ali_trackid=318_b7566a3b8d73efcc31c4622fb674b825&amp;id=676843581731&amp;mi_id=0000XR0h2BLXAHwL7-eAM5la7JZDwb6y7EX6H4iLSTAoz3k&amp;mm_sceneid=0_0_727720075_0&amp;priceTId=214781bc17758139358803732e1040&amp;skuId=5064710945904&amp;spm=a21n57.1.hoverItem.1&amp;utparam=%7B%22aplus_abtest%22%3A%2262117619f600c65d5cc81605392925ab%22%7D&amp;xxc=ad_ztc</t>
  </si>
  <si>
    <t>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</t>
  </si>
  <si>
    <t>蜂鸣器</t>
  </si>
  <si>
    <t>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</t>
  </si>
  <si>
    <t>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</t>
  </si>
  <si>
    <t>人体检测模块</t>
  </si>
  <si>
    <t>火灾检测模块</t>
  </si>
  <si>
    <t>烟雾检测模块</t>
  </si>
  <si>
    <t>水灾校测模块（水位传感器--水位片）</t>
  </si>
  <si>
    <t>温湿度模块</t>
  </si>
  <si>
    <t>交直流检测模块</t>
  </si>
  <si>
    <t>排针</t>
  </si>
  <si>
    <t>https://detail.tmall.com/item.htm?abbucket=10&amp;id=40211647520&amp;mi_id=00006ce1NjByLciSvF5uXz5ovWMbaTCZ0pVSEk3wMY5Z7Co&amp;ns=1&amp;priceTId=213e015f17763394726922434e0ee9&amp;spm=a21n57.1.hoverItem.6&amp;utparam=%7B%22aplus_abtest%22%3A%2206bb58e575fd677871c851b2b44d5b9d%22%7D&amp;xxc=taobaoSearch</t>
  </si>
  <si>
    <t>https://item.taobao.com/item.htm?abbucket=10&amp;id=737299775254&amp;mi_id=0000U98uNjPvYiHgfvrrIQqf_sTxd-jU2694Ua6QgZz1UsU&amp;ns=1&amp;priceTId=214780e817763396512188777e1103&amp;skuId=5092252113558&amp;spm=a21n57.1.hoverItem.4&amp;utparam=%7B%22aplus_abtest%22%3A%22fa4db4af4efd04a185784e16fe3e6d4b%22%7D&amp;xxc=taobaoSearch</t>
  </si>
  <si>
    <t>https://detail.tmall.com/item.htm?abbucket=10&amp;id=695587192027&amp;mi_id=0000YWLQEY124O7_8c4WWRVf59Oi9abfw4my8YoudhL09xA&amp;ns=1&amp;skuId=4935292848041&amp;spm=a21n57.1.hoverItem.27&amp;utparam=%7B%22aplus_abtest%22%3A%22e283458e2b912fab9d004b8e1f5e3fc6%22%7D&amp;xxc=taobaoSearch</t>
  </si>
  <si>
    <t>https://item.taobao.com/item.htm?abbucket=10&amp;id=553934541693&amp;mi_id=0000B6K9ix_7bF_XENtjfsp5ElO3qSfG-fRduYD3PL-SBEk&amp;ns=1&amp;skuId=4396405592340&amp;spm=a21n57.1.hoverItem.9&amp;utparam=%7B%22aplus_abtest%22%3A%22ae8cdf4b03779d443f102abf845c2a16%22%7D&amp;xxc=taobaoSearch</t>
  </si>
  <si>
    <t>https://item.taobao.com/item.htm?abbucket=10&amp;id=735662700524&amp;mi_id=0000zwfzipEwFSD9nip5qFCafKb9MBMqK6Ar_o1S2ogORRM&amp;ns=1&amp;skuId=5254934106715&amp;spm=a21n57.1.hoverItem.9&amp;utparam=%7B%22aplus_abtest%22%3A%22fc28759c64ef1e691620503a54cd2c47%22%7D&amp;xxc=taobaoSearch</t>
  </si>
  <si>
    <t>https://detail.tmall.com/item.htm?ali_refid=a3_430582_1006%3A1104520036%3AN%3AH%2FyD9ppkTqDtI4vK6pvZww%3D%3D%3A2dc09aac029005607dd7d97cb596f606&amp;ali_trackid=1_2dc09aac029005607dd7d97cb596f606&amp;id=13700799942&amp;mi_id=0000c02HaqkJvuBdtgNx843cl6CSmFyFALUHagGROncRso4&amp;mm_sceneid=1_0_28706210_0&amp;priceTId=214783b417763399268201911e106f&amp;skuId=3453209150988&amp;spm=a21n57.1.hoverItem.1&amp;utparam=%7B%22aplus_abtest%22%3A%2282a0533a7ee7bfb7535fecbd3990c2ae%22%7D&amp;xxc=ad_ztc</t>
  </si>
  <si>
    <t>https://detail.tmall.com/item.htm?abbucket=10&amp;id=812251844151&amp;mi_id=0000_AfzIrfzpvJKPRxRw7qLIWSSenygSneajQNcKQXgg_4&amp;ns=1&amp;priceTId=2147816417763440137538949e113e&amp;skuId=5505229204471&amp;spm=a21n57.1.hoverItem.4&amp;utparam=%7B%22aplus_abtest%22%3A%22bbd90b436a51fba7596bca838779b4c1%22%7D&amp;xxc=taobaoSearch</t>
  </si>
  <si>
    <t>锡丝</t>
  </si>
  <si>
    <t>基于单片机的机房综合监控系统设计与实现设计采购清单</t>
  </si>
  <si>
    <t>https://item.taobao.com/item.htm?abbucket=10&amp;id=617699047470&amp;mi_id=0000hgHODedu82RcbrYBECAhEdhxqvG2UwKk0wuRLUDrxtQ&amp;ns=1&amp;spm=a21n57.1.hoverItem.3&amp;utparam=%7B%22aplus_abtest%22%3A%22dbd2a5802a6c298e1360082ed174fa81%22%7D&amp;xxc=taobaoSearch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</si>
</sst>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Fill="1" applyBorder="1">
      <alignment vertical="center"/>
    </xf>
    <xf numFmtId="0" fontId="0" fillId="0" borderId="1" xfId="0" applyFill="1" applyBorder="1">
      <alignment vertical="center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id=695587192027&amp;mi_id=0000YWLQEY124O7_8c4WWRVf59Oi9abfw4my8YoudhL09xA&amp;ns=1&amp;skuId=4935292848041&amp;spm=a21n57.1.hoverItem.27&amp;utparam=%7B%22aplus_abtest%22%3A%22e283458e2b912fab9d004b8e1f5e3fc6%22%7D&amp;xxc=taobaoSearch" TargetMode="External"/><Relationship Id="rId13" Type="http://schemas.openxmlformats.org/officeDocument/2006/relationships/hyperlink" Target="https://detail.tmall.com/item.htm?abbucket=10&amp;id=812251844151&amp;mi_id=0000_AfzIrfzpvJKPRxRw7qLIWSSenygSneajQNcKQXgg_4&amp;ns=1&amp;priceTId=2147816417763440137538949e113e&amp;skuId=5505229204471&amp;spm=a21n57.1.hoverItem.4&amp;utparam=%7B%22aplus_abtest%22%3A%22bbd90b436a51fba7596bca838779b4c1%22%7D&amp;xxc=taobaoSearch" TargetMode="External"/><Relationship Id="rId3" Type="http://schemas.openxmlformats.org/officeDocument/2006/relationships/hyperlink" Target="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" TargetMode="External"/><Relationship Id="rId7" Type="http://schemas.openxmlformats.org/officeDocument/2006/relationships/hyperlink" Target="https://item.taobao.com/item.htm?abbucket=10&amp;id=737299775254&amp;mi_id=0000U98uNjPvYiHgfvrrIQqf_sTxd-jU2694Ua6QgZz1UsU&amp;ns=1&amp;priceTId=214780e817763396512188777e1103&amp;skuId=5092252113558&amp;spm=a21n57.1.hoverItem.4&amp;utparam=%7B%22aplus_abtest%22%3A%22fa4db4af4efd04a185784e16fe3e6d4b%22%7D&amp;xxc=taobaoSearch" TargetMode="External"/><Relationship Id="rId12" Type="http://schemas.openxmlformats.org/officeDocument/2006/relationships/hyperlink" Target="https://item.taobao.com/item.htm?abbucket=10&amp;id=617699047470&amp;mi_id=0000hgHODedu82RcbrYBECAhEdhxqvG2UwKk0wuRLUDrxtQ&amp;ns=1&amp;spm=a21n57.1.hoverItem.3&amp;utparam=%7B%22aplus_abtest%22%3A%22dbd2a5802a6c298e1360082ed174fa81%22%7D&amp;xxc=taobaoSearch" TargetMode="External"/><Relationship Id="rId2" Type="http://schemas.openxmlformats.org/officeDocument/2006/relationships/hyperlink" Target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TargetMode="External"/><Relationship Id="rId1" Type="http://schemas.openxmlformats.org/officeDocument/2006/relationships/hyperlink" Target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TargetMode="External"/><Relationship Id="rId6" Type="http://schemas.openxmlformats.org/officeDocument/2006/relationships/hyperlink" Target="https://detail.tmall.com/item.htm?abbucket=10&amp;id=40211647520&amp;mi_id=00006ce1NjByLciSvF5uXz5ovWMbaTCZ0pVSEk3wMY5Z7Co&amp;ns=1&amp;priceTId=213e015f17763394726922434e0ee9&amp;spm=a21n57.1.hoverItem.6&amp;utparam=%7B%22aplus_abtest%22%3A%2206bb58e575fd677871c851b2b44d5b9d%22%7D&amp;xxc=taobaoSearch" TargetMode="External"/><Relationship Id="rId11" Type="http://schemas.openxmlformats.org/officeDocument/2006/relationships/hyperlink" Target="https://detail.tmall.com/item.htm?ali_refid=a3_430582_1006%3A1104520036%3AN%3AH%2FyD9ppkTqDtI4vK6pvZww%3D%3D%3A2dc09aac029005607dd7d97cb596f606&amp;ali_trackid=1_2dc09aac029005607dd7d97cb596f606&amp;id=13700799942&amp;mi_id=0000c02HaqkJvuBdtgNx843cl6CSmFyFALUHagGROncRso4&amp;mm_sceneid=1_0_28706210_0&amp;priceTId=214783b417763399268201911e106f&amp;skuId=3453209150988&amp;spm=a21n57.1.hoverItem.1&amp;utparam=%7B%22aplus_abtest%22%3A%2282a0533a7ee7bfb7535fecbd3990c2ae%22%7D&amp;xxc=ad_ztc" TargetMode="External"/><Relationship Id="rId5" Type="http://schemas.openxmlformats.org/officeDocument/2006/relationships/hyperlink" Target="https://item.taobao.com/item.htm?abbucket=18&amp;id=909381113639&amp;mi_id=0000cbAWrw9XksqZMst2juap88pG4Csb8y8YeCtGDw3Thhg&amp;ns=1&amp;skuId=5769812572738&amp;spm=a21n57.1.hoverItem.1&amp;utparam=%7B%22aplus_abtest%22%3A%2214c3afc691c00c7b6c58c8cbf396c904%22%7D&amp;xxc=taobaoSearch" TargetMode="External"/><Relationship Id="rId10" Type="http://schemas.openxmlformats.org/officeDocument/2006/relationships/hyperlink" Target="https://item.taobao.com/item.htm?abbucket=10&amp;id=735662700524&amp;mi_id=0000zwfzipEwFSD9nip5qFCafKb9MBMqK6Ar_o1S2ogORRM&amp;ns=1&amp;skuId=5254934106715&amp;spm=a21n57.1.hoverItem.9&amp;utparam=%7B%22aplus_abtest%22%3A%22fc28759c64ef1e691620503a54cd2c47%22%7D&amp;xxc=taobaoSearch" TargetMode="External"/><Relationship Id="rId4" Type="http://schemas.openxmlformats.org/officeDocument/2006/relationships/hyperlink" Target="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" TargetMode="External"/><Relationship Id="rId9" Type="http://schemas.openxmlformats.org/officeDocument/2006/relationships/hyperlink" Target="https://item.taobao.com/item.htm?abbucket=10&amp;id=553934541693&amp;mi_id=0000B6K9ix_7bF_XENtjfsp5ElO3qSfG-fRduYD3PL-SBEk&amp;ns=1&amp;skuId=4396405592340&amp;spm=a21n57.1.hoverItem.9&amp;utparam=%7B%22aplus_abtest%22%3A%22ae8cdf4b03779d443f102abf845c2a16%22%7D&amp;xxc=taobaoSearch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="130" zoomScaleNormal="130" workbookViewId="0">
      <selection activeCell="L11" sqref="L11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2" t="s">
        <v>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7" ht="27.75" customHeight="1">
      <c r="A2" s="14" t="s">
        <v>0</v>
      </c>
      <c r="B2" s="14"/>
      <c r="C2" s="14"/>
      <c r="D2" s="14" t="s">
        <v>1</v>
      </c>
      <c r="E2" s="14"/>
      <c r="F2" s="14"/>
      <c r="G2" s="14"/>
      <c r="H2" s="14"/>
      <c r="I2" s="14"/>
      <c r="J2" s="14"/>
      <c r="K2" s="14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9" t="s">
        <v>7</v>
      </c>
      <c r="B3" s="9"/>
      <c r="C3" s="9"/>
      <c r="D3" s="15" t="s">
        <v>18</v>
      </c>
      <c r="E3" s="15"/>
      <c r="F3" s="15"/>
      <c r="G3" s="15"/>
      <c r="H3" s="15"/>
      <c r="I3" s="15"/>
      <c r="J3" s="15"/>
      <c r="K3" s="15"/>
      <c r="L3" s="4">
        <v>13.95</v>
      </c>
      <c r="M3" s="4">
        <v>1</v>
      </c>
      <c r="N3" s="4">
        <f t="shared" ref="N3:N4" si="0">L3</f>
        <v>13.95</v>
      </c>
      <c r="O3" s="6" t="s">
        <v>7</v>
      </c>
    </row>
    <row r="4" spans="1:17" ht="23.25" customHeight="1">
      <c r="A4" s="9" t="s">
        <v>8</v>
      </c>
      <c r="B4" s="9"/>
      <c r="C4" s="9"/>
      <c r="D4" s="10" t="s">
        <v>19</v>
      </c>
      <c r="E4" s="11"/>
      <c r="F4" s="11"/>
      <c r="G4" s="11"/>
      <c r="H4" s="11"/>
      <c r="I4" s="11"/>
      <c r="J4" s="11"/>
      <c r="K4" s="11"/>
      <c r="L4" s="4">
        <v>13.39</v>
      </c>
      <c r="M4" s="3">
        <v>1</v>
      </c>
      <c r="N4" s="4">
        <f t="shared" si="0"/>
        <v>13.39</v>
      </c>
      <c r="O4" s="4" t="s">
        <v>8</v>
      </c>
    </row>
    <row r="5" spans="1:17" ht="24.75" customHeight="1">
      <c r="A5" s="17" t="s">
        <v>23</v>
      </c>
      <c r="B5" s="17"/>
      <c r="C5" s="17"/>
      <c r="D5" s="18" t="s">
        <v>30</v>
      </c>
      <c r="E5" s="19"/>
      <c r="F5" s="19"/>
      <c r="G5" s="19"/>
      <c r="H5" s="19"/>
      <c r="I5" s="19"/>
      <c r="J5" s="19"/>
      <c r="K5" s="19"/>
      <c r="L5" s="4">
        <v>10.43</v>
      </c>
      <c r="M5" s="8">
        <v>1</v>
      </c>
      <c r="N5" s="4">
        <f>L5</f>
        <v>10.43</v>
      </c>
      <c r="O5" s="4" t="str">
        <f>A5</f>
        <v>人体检测模块</v>
      </c>
    </row>
    <row r="6" spans="1:17" ht="24.75" customHeight="1">
      <c r="A6" s="17" t="s">
        <v>24</v>
      </c>
      <c r="B6" s="17"/>
      <c r="C6" s="17"/>
      <c r="D6" s="18" t="s">
        <v>31</v>
      </c>
      <c r="E6" s="19"/>
      <c r="F6" s="19"/>
      <c r="G6" s="19"/>
      <c r="H6" s="19"/>
      <c r="I6" s="19"/>
      <c r="J6" s="19"/>
      <c r="K6" s="19"/>
      <c r="L6" s="4">
        <v>6.5</v>
      </c>
      <c r="M6" s="8">
        <v>1</v>
      </c>
      <c r="N6" s="4">
        <f t="shared" ref="N6:N11" si="1">L6</f>
        <v>6.5</v>
      </c>
      <c r="O6" s="4" t="str">
        <f t="shared" ref="O6:O11" si="2">A6</f>
        <v>火灾检测模块</v>
      </c>
    </row>
    <row r="7" spans="1:17" ht="24.75" customHeight="1">
      <c r="A7" s="17" t="s">
        <v>25</v>
      </c>
      <c r="B7" s="17"/>
      <c r="C7" s="17"/>
      <c r="D7" s="18" t="s">
        <v>32</v>
      </c>
      <c r="E7" s="19"/>
      <c r="F7" s="19"/>
      <c r="G7" s="19"/>
      <c r="H7" s="19"/>
      <c r="I7" s="19"/>
      <c r="J7" s="19"/>
      <c r="K7" s="19"/>
      <c r="L7" s="4">
        <v>9.82</v>
      </c>
      <c r="M7" s="8">
        <v>1</v>
      </c>
      <c r="N7" s="4">
        <f t="shared" si="1"/>
        <v>9.82</v>
      </c>
      <c r="O7" s="4" t="str">
        <f t="shared" si="2"/>
        <v>烟雾检测模块</v>
      </c>
    </row>
    <row r="8" spans="1:17" ht="24.75" customHeight="1">
      <c r="A8" s="17" t="s">
        <v>26</v>
      </c>
      <c r="B8" s="17"/>
      <c r="C8" s="17"/>
      <c r="D8" s="18" t="s">
        <v>33</v>
      </c>
      <c r="E8" s="19"/>
      <c r="F8" s="19"/>
      <c r="G8" s="19"/>
      <c r="H8" s="19"/>
      <c r="I8" s="19"/>
      <c r="J8" s="19"/>
      <c r="K8" s="19"/>
      <c r="L8" s="4">
        <v>4</v>
      </c>
      <c r="M8" s="8">
        <v>1</v>
      </c>
      <c r="N8" s="4">
        <f t="shared" si="1"/>
        <v>4</v>
      </c>
      <c r="O8" s="4" t="str">
        <f t="shared" si="2"/>
        <v>水灾校测模块（水位传感器--水位片）</v>
      </c>
    </row>
    <row r="9" spans="1:17" ht="24.75" customHeight="1">
      <c r="A9" s="17" t="s">
        <v>27</v>
      </c>
      <c r="B9" s="17"/>
      <c r="C9" s="17"/>
      <c r="D9" s="18" t="s">
        <v>34</v>
      </c>
      <c r="E9" s="19"/>
      <c r="F9" s="19"/>
      <c r="G9" s="19"/>
      <c r="H9" s="19"/>
      <c r="I9" s="19"/>
      <c r="J9" s="19"/>
      <c r="K9" s="19"/>
      <c r="L9" s="4">
        <v>8.9</v>
      </c>
      <c r="M9" s="8">
        <v>1</v>
      </c>
      <c r="N9" s="4">
        <f t="shared" si="1"/>
        <v>8.9</v>
      </c>
      <c r="O9" s="4" t="str">
        <f t="shared" si="2"/>
        <v>温湿度模块</v>
      </c>
    </row>
    <row r="10" spans="1:17" ht="24.75" customHeight="1">
      <c r="A10" s="17" t="s">
        <v>28</v>
      </c>
      <c r="B10" s="17"/>
      <c r="C10" s="17"/>
      <c r="D10" s="18" t="s">
        <v>39</v>
      </c>
      <c r="E10" s="19"/>
      <c r="F10" s="19"/>
      <c r="G10" s="19"/>
      <c r="H10" s="19"/>
      <c r="I10" s="19"/>
      <c r="J10" s="19"/>
      <c r="K10" s="19"/>
      <c r="L10" s="4">
        <v>41.8</v>
      </c>
      <c r="M10" s="8">
        <v>1</v>
      </c>
      <c r="N10" s="4">
        <f t="shared" si="1"/>
        <v>41.8</v>
      </c>
      <c r="O10" s="4" t="str">
        <f t="shared" si="2"/>
        <v>交直流检测模块</v>
      </c>
    </row>
    <row r="11" spans="1:17" ht="24.75" customHeight="1">
      <c r="A11" s="17" t="s">
        <v>29</v>
      </c>
      <c r="B11" s="17"/>
      <c r="C11" s="17"/>
      <c r="D11" s="18" t="s">
        <v>35</v>
      </c>
      <c r="E11" s="19"/>
      <c r="F11" s="19"/>
      <c r="G11" s="19"/>
      <c r="H11" s="19"/>
      <c r="I11" s="19"/>
      <c r="J11" s="19"/>
      <c r="K11" s="19"/>
      <c r="L11" s="4">
        <v>3.5</v>
      </c>
      <c r="M11" s="8">
        <v>1</v>
      </c>
      <c r="N11" s="4">
        <f t="shared" si="1"/>
        <v>3.5</v>
      </c>
      <c r="O11" s="4" t="str">
        <f t="shared" si="2"/>
        <v>排针</v>
      </c>
    </row>
    <row r="12" spans="1:17" ht="24.75" customHeight="1">
      <c r="A12" s="17" t="s">
        <v>20</v>
      </c>
      <c r="B12" s="17"/>
      <c r="C12" s="17"/>
      <c r="D12" s="18" t="s">
        <v>21</v>
      </c>
      <c r="E12" s="19"/>
      <c r="F12" s="19"/>
      <c r="G12" s="19"/>
      <c r="H12" s="19"/>
      <c r="I12" s="19"/>
      <c r="J12" s="19"/>
      <c r="K12" s="19"/>
      <c r="L12" s="4">
        <v>2.9</v>
      </c>
      <c r="M12" s="4">
        <v>1</v>
      </c>
      <c r="N12" s="4">
        <v>2.9</v>
      </c>
      <c r="O12" s="4" t="str">
        <f t="shared" ref="O12" si="3">A12</f>
        <v>蜂鸣器</v>
      </c>
    </row>
    <row r="13" spans="1:17" ht="24.75" customHeight="1">
      <c r="A13" s="17" t="s">
        <v>13</v>
      </c>
      <c r="B13" s="17"/>
      <c r="C13" s="17"/>
      <c r="D13" s="18" t="s">
        <v>22</v>
      </c>
      <c r="E13" s="19"/>
      <c r="F13" s="19"/>
      <c r="G13" s="19"/>
      <c r="H13" s="19"/>
      <c r="I13" s="19"/>
      <c r="J13" s="19"/>
      <c r="K13" s="19"/>
      <c r="L13" s="4">
        <v>4.9000000000000004</v>
      </c>
      <c r="M13" s="4">
        <v>1</v>
      </c>
      <c r="N13" s="4">
        <v>4.9000000000000004</v>
      </c>
      <c r="O13" s="4" t="str">
        <f t="shared" ref="O13" si="4">A13</f>
        <v>排母</v>
      </c>
    </row>
    <row r="14" spans="1:17" ht="24.75" customHeight="1">
      <c r="A14" s="17" t="s">
        <v>14</v>
      </c>
      <c r="B14" s="17"/>
      <c r="C14" s="17"/>
      <c r="D14" s="10" t="s">
        <v>15</v>
      </c>
      <c r="E14" s="11"/>
      <c r="F14" s="11"/>
      <c r="G14" s="11"/>
      <c r="H14" s="11"/>
      <c r="I14" s="11"/>
      <c r="J14" s="11"/>
      <c r="K14" s="11"/>
      <c r="L14" s="4">
        <v>3.52</v>
      </c>
      <c r="M14" s="4">
        <v>1</v>
      </c>
      <c r="N14" s="4">
        <v>3.52</v>
      </c>
      <c r="O14" s="4" t="s">
        <v>16</v>
      </c>
      <c r="P14" s="4"/>
      <c r="Q14" s="4"/>
    </row>
    <row r="15" spans="1:17" ht="24.75" customHeight="1">
      <c r="A15" s="17" t="s">
        <v>37</v>
      </c>
      <c r="B15" s="17"/>
      <c r="C15" s="17"/>
      <c r="D15" s="10" t="s">
        <v>36</v>
      </c>
      <c r="E15" s="11"/>
      <c r="F15" s="11"/>
      <c r="G15" s="11"/>
      <c r="H15" s="11"/>
      <c r="I15" s="11"/>
      <c r="J15" s="11"/>
      <c r="K15" s="11"/>
      <c r="L15" s="4">
        <v>12.9</v>
      </c>
      <c r="M15" s="4">
        <v>1</v>
      </c>
      <c r="N15" s="4">
        <v>12.9</v>
      </c>
      <c r="O15" s="4" t="s">
        <v>17</v>
      </c>
      <c r="P15" s="4"/>
      <c r="Q15" s="4"/>
    </row>
    <row r="16" spans="1:17" ht="23.45" customHeight="1">
      <c r="A16" s="17" t="s">
        <v>11</v>
      </c>
      <c r="B16" s="17"/>
      <c r="C16" s="17"/>
      <c r="D16" s="10" t="s">
        <v>12</v>
      </c>
      <c r="E16" s="11"/>
      <c r="F16" s="11"/>
      <c r="G16" s="11"/>
      <c r="H16" s="11"/>
      <c r="I16" s="11"/>
      <c r="J16" s="11"/>
      <c r="K16" s="11"/>
      <c r="L16" s="4">
        <v>3.8</v>
      </c>
      <c r="M16" s="4">
        <v>1</v>
      </c>
      <c r="N16" s="4">
        <v>3.8</v>
      </c>
      <c r="O16" s="4" t="s">
        <v>11</v>
      </c>
    </row>
    <row r="17" spans="1:15" ht="24.75" customHeight="1">
      <c r="A17" s="17" t="s">
        <v>9</v>
      </c>
      <c r="B17" s="17"/>
      <c r="C17" s="17"/>
      <c r="D17" s="10" t="s">
        <v>10</v>
      </c>
      <c r="E17" s="11"/>
      <c r="F17" s="11"/>
      <c r="G17" s="11"/>
      <c r="H17" s="11"/>
      <c r="I17" s="11"/>
      <c r="J17" s="11"/>
      <c r="K17" s="11"/>
      <c r="L17" s="4">
        <v>20</v>
      </c>
      <c r="M17" s="4">
        <v>1</v>
      </c>
      <c r="N17" s="4">
        <v>20</v>
      </c>
      <c r="O17" s="4" t="s">
        <v>9</v>
      </c>
    </row>
    <row r="18" spans="1:15" ht="23.25" customHeight="1">
      <c r="A18" s="7" t="s">
        <v>6</v>
      </c>
      <c r="B18" s="16">
        <f>SUM(N3:N17)</f>
        <v>160.31</v>
      </c>
      <c r="C18" s="1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21" spans="1:15" ht="14.1" customHeight="1">
      <c r="H21" s="5"/>
    </row>
  </sheetData>
  <mergeCells count="34">
    <mergeCell ref="A10:C10"/>
    <mergeCell ref="D10:K10"/>
    <mergeCell ref="A9:C9"/>
    <mergeCell ref="D9:K9"/>
    <mergeCell ref="A8:C8"/>
    <mergeCell ref="D8:K8"/>
    <mergeCell ref="A7:C7"/>
    <mergeCell ref="D7:K7"/>
    <mergeCell ref="A6:C6"/>
    <mergeCell ref="D6:K6"/>
    <mergeCell ref="A5:C5"/>
    <mergeCell ref="D5:K5"/>
    <mergeCell ref="A11:C11"/>
    <mergeCell ref="D11:K11"/>
    <mergeCell ref="D15:K15"/>
    <mergeCell ref="A16:C16"/>
    <mergeCell ref="A12:C12"/>
    <mergeCell ref="D12:K12"/>
    <mergeCell ref="A13:C13"/>
    <mergeCell ref="D13:K13"/>
    <mergeCell ref="B18:C18"/>
    <mergeCell ref="A17:C17"/>
    <mergeCell ref="D17:K17"/>
    <mergeCell ref="D16:K16"/>
    <mergeCell ref="A14:C14"/>
    <mergeCell ref="D14:K14"/>
    <mergeCell ref="A15:C15"/>
    <mergeCell ref="A4:C4"/>
    <mergeCell ref="D4:K4"/>
    <mergeCell ref="A1:O1"/>
    <mergeCell ref="D2:K2"/>
    <mergeCell ref="A2:C2"/>
    <mergeCell ref="A3:C3"/>
    <mergeCell ref="D3:K3"/>
  </mergeCells>
  <phoneticPr fontId="8" type="noConversion"/>
  <hyperlinks>
    <hyperlink ref="D14" r:id="rId1" display="https://detail.tmall.com/item.htm?abbucket=18&amp;id=14525748552&amp;mi_id=0000cIqmZPW3UhO2SgSu4SvQhVd-BOgfR1k2_ccWUSjXmqI&amp;ns=1&amp;priceTId=2100c88c17705592388074352e0cdb&amp;skuId=5008703721553&amp;spm=a21n57.1.hoverItem.2&amp;utparam=%7B%22aplus_abtest%22%3A%22029042e9ddf1e80f170923cab86e073a%22%7D&amp;xxc=taobaoSearch" xr:uid="{0A418541-0F85-431B-BA6C-1D0D620128E0}"/>
    <hyperlink ref="D4" r:id="rId2" display="https://item.taobao.com/item.htm?abbucket=10&amp;id=562145367495&amp;mi_id=00004Vu1wO8wTf-ynDFOaRALU7TNzhrtvpu59rO5vo5PJeI&amp;ns=1&amp;priceTId=214781bc17758140233848315e1040&amp;skuId=4843968313716&amp;spm=a21n57.1.hoverItem.2&amp;utparam=%7B%22aplus_abtest%22%3A%224c93261036138495b99cbd9a8d0912a3%22%7D&amp;xxc=taobaoSearch" xr:uid="{D05E352A-32E0-454B-8E45-6492463C5C92}"/>
    <hyperlink ref="D12" r:id="rId3" display="https://item.taobao.com/item.htm?abbucket=10&amp;id=522572589576&amp;mi_id=0000hF0a5k0k7ThcCSB_RnzUfnyOwhV59NcTOovMSNfiD1U&amp;ns=1&amp;priceTId=2147844f17758163481972239e13e2&amp;spm=a21n57.1.hoverItem.2&amp;utparam=%7B%22aplus_abtest%22%3A%22ce2368428cc2f611b1ad06b720a4b7c2%22%7D&amp;xxc=taobaoSearch" xr:uid="{264424C6-1BFA-44F0-8AFD-63F4BAC771FD}"/>
    <hyperlink ref="D13" r:id="rId4" display="https://item.taobao.com/item.htm?abbucket=10&amp;id=522579376259&amp;mi_id=0000vhsbTI0e7o27yKg1NV_JRqQMVmV-lH_YMdwH7aEXHkI&amp;ns=1&amp;priceTId=2147844f17758163871094221e13e2&amp;skuId=6139961763391&amp;spm=a21n57.1.hoverItem.2&amp;utparam=%7B%22aplus_abtest%22%3A%22db24cfb9875a4e6d50e3c793a82e98e9%22%7D&amp;xxc=taobaoSearch" xr:uid="{EB6043E5-4B32-4D6C-BC9E-20890599B6BD}"/>
    <hyperlink ref="D16" r:id="rId5" xr:uid="{802C48E3-88AC-44C6-A929-1907B01DE4F5}"/>
    <hyperlink ref="D5" r:id="rId6" display="https://detail.tmall.com/item.htm?abbucket=10&amp;id=40211647520&amp;mi_id=00006ce1NjByLciSvF5uXz5ovWMbaTCZ0pVSEk3wMY5Z7Co&amp;ns=1&amp;priceTId=213e015f17763394726922434e0ee9&amp;spm=a21n57.1.hoverItem.6&amp;utparam=%7B%22aplus_abtest%22%3A%2206bb58e575fd677871c851b2b44d5b9d%22%7D&amp;xxc=taobaoSearch" xr:uid="{782F6805-9665-44C9-B3F9-9EBD795431A0}"/>
    <hyperlink ref="D6" r:id="rId7" display="https://item.taobao.com/item.htm?abbucket=10&amp;id=737299775254&amp;mi_id=0000U98uNjPvYiHgfvrrIQqf_sTxd-jU2694Ua6QgZz1UsU&amp;ns=1&amp;priceTId=214780e817763396512188777e1103&amp;skuId=5092252113558&amp;spm=a21n57.1.hoverItem.4&amp;utparam=%7B%22aplus_abtest%22%3A%22fa4db4af4efd04a185784e16fe3e6d4b%22%7D&amp;xxc=taobaoSearch" xr:uid="{4BB69734-30E7-43B4-B7F4-59FE1698F6B8}"/>
    <hyperlink ref="D7" r:id="rId8" display="https://detail.tmall.com/item.htm?abbucket=10&amp;id=695587192027&amp;mi_id=0000YWLQEY124O7_8c4WWRVf59Oi9abfw4my8YoudhL09xA&amp;ns=1&amp;skuId=4935292848041&amp;spm=a21n57.1.hoverItem.27&amp;utparam=%7B%22aplus_abtest%22%3A%22e283458e2b912fab9d004b8e1f5e3fc6%22%7D&amp;xxc=taobaoSearch" xr:uid="{B138E1AE-5C5B-4112-B8F8-826D24C3C264}"/>
    <hyperlink ref="D8" r:id="rId9" xr:uid="{BD8473E9-FF10-4FA4-A0F8-F62BDC4D22F6}"/>
    <hyperlink ref="D9" r:id="rId10" xr:uid="{3076900D-F5FF-4A6D-8CC6-43219A7F9488}"/>
    <hyperlink ref="D11" r:id="rId11" display="https://detail.tmall.com/item.htm?ali_refid=a3_430582_1006%3A1104520036%3AN%3AH%2FyD9ppkTqDtI4vK6pvZww%3D%3D%3A2dc09aac029005607dd7d97cb596f606&amp;ali_trackid=1_2dc09aac029005607dd7d97cb596f606&amp;id=13700799942&amp;mi_id=0000c02HaqkJvuBdtgNx843cl6CSmFyFALUHagGROncRso4&amp;mm_sceneid=1_0_28706210_0&amp;priceTId=214783b417763399268201911e106f&amp;skuId=3453209150988&amp;spm=a21n57.1.hoverItem.1&amp;utparam=%7B%22aplus_abtest%22%3A%2282a0533a7ee7bfb7535fecbd3990c2ae%22%7D&amp;xxc=ad_ztc" xr:uid="{5692687D-760F-415B-85F2-05926E9FEA78}"/>
    <hyperlink ref="D10" r:id="rId12" xr:uid="{B8092DD1-BB1B-41FE-B4A2-06437F8ECE27}"/>
    <hyperlink ref="D15" r:id="rId13" display="https://detail.tmall.com/item.htm?abbucket=10&amp;id=812251844151&amp;mi_id=0000_AfzIrfzpvJKPRxRw7qLIWSSenygSneajQNcKQXgg_4&amp;ns=1&amp;priceTId=2147816417763440137538949e113e&amp;skuId=5505229204471&amp;spm=a21n57.1.hoverItem.4&amp;utparam=%7B%22aplus_abtest%22%3A%22bbd90b436a51fba7596bca838779b4c1%22%7D&amp;xxc=taobaoSearch" xr:uid="{5C6F8E72-67EF-40AB-9FAC-1986214AF135}"/>
  </hyperlinks>
  <pageMargins left="0.75" right="0.75" top="1" bottom="1" header="0.51180555555555596" footer="0.51180555555555596"/>
  <pageSetup paperSize="9" orientation="portrait"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2026-04-17T13:09:01Z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