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4.1\基于单片机和AI声控的婴儿哭声检测器设计\1.清单\"/>
    </mc:Choice>
  </mc:AlternateContent>
  <xr:revisionPtr revIDLastSave="0" documentId="13_ncr:1_{19C1BCA4-5C72-4728-A1B5-CB4BCFDB34B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O8" i="1"/>
  <c r="N14" i="1"/>
  <c r="O14" i="1"/>
  <c r="O13" i="1"/>
  <c r="N13" i="1"/>
  <c r="O4" i="1"/>
  <c r="O5" i="1"/>
  <c r="O9" i="1"/>
  <c r="O10" i="1"/>
  <c r="O11" i="1"/>
  <c r="O12" i="1"/>
  <c r="O6" i="1"/>
  <c r="N11" i="1"/>
  <c r="N6" i="1"/>
  <c r="N9" i="1"/>
  <c r="N10" i="1"/>
  <c r="N12" i="1"/>
  <c r="N15" i="1"/>
  <c r="N3" i="1"/>
  <c r="B16" i="1" l="1"/>
</calcChain>
</file>

<file path=xl/sharedStrings.xml><?xml version="1.0" encoding="utf-8"?>
<sst xmlns="http://schemas.openxmlformats.org/spreadsheetml/2006/main" count="36" uniqueCount="35">
  <si>
    <t>型号</t>
  </si>
  <si>
    <t>链接</t>
  </si>
  <si>
    <t>单价</t>
  </si>
  <si>
    <t>数量</t>
  </si>
  <si>
    <t>单价总价</t>
  </si>
  <si>
    <t>备注</t>
  </si>
  <si>
    <t>总计</t>
  </si>
  <si>
    <t>PCB打板</t>
  </si>
  <si>
    <t>嘉立创PCB打板</t>
  </si>
  <si>
    <t>PCB</t>
  </si>
  <si>
    <t>STM32F103C8T6开发板</t>
  </si>
  <si>
    <t>0.96寸OLED</t>
  </si>
  <si>
    <t>排母</t>
  </si>
  <si>
    <t>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</t>
  </si>
  <si>
    <t>https://item.taobao.com/item.htm?from=cart&amp;id=562145367495&amp;mi_id=0000w9WWqige3zDtQ8sZci3pfSrLA-g_MWoEEzYr1RURzjo&amp;skuId=4843968313715&amp;spm=a1z0d.6639537%2F202410.item.d562145367495.3b787484UpXFAU&amp;upStreamPrice=1089</t>
  </si>
  <si>
    <t>蜂鸣器</t>
  </si>
  <si>
    <t>按键</t>
  </si>
  <si>
    <t>锡丝</t>
  </si>
  <si>
    <t>https://item.taobao.com/item.htm?from=cart&amp;id=522572589576&amp;mi_id=00002-C7pr5Tj0gskJ_a7lmk-4hrl1pnxbulsdBpVXrj6M0&amp;spm=a1z0d.6639537%2F202410.item.d522572589576.23d77484QG8HZB&amp;upStreamPrice=176</t>
  </si>
  <si>
    <t>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</t>
  </si>
  <si>
    <t>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</t>
  </si>
  <si>
    <t>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</t>
  </si>
  <si>
    <t>https://item.taobao.com/item.htm?abbucket=10&amp;id=989578787883&amp;mi_id=0000cmxU1v8GiiT-MTmIicFPgL0CNh2Ax1qA8g6VOwDWdI4&amp;ns=1&amp;spm=a21n57.1.hoverItem.4&amp;utparam=%7B%22aplus_abtest%22%3A%22a9b891d7e454d7d3864caf65af394c6d%22%7D&amp;xxc=taobaoSearch</t>
  </si>
  <si>
    <t>麦克风声音传感器模块</t>
  </si>
  <si>
    <t>基于单片机和AI声控模型的婴儿哭声检测器设计系统采购清单</t>
  </si>
  <si>
    <t>https://detail.tmall.com/item.htm?ali_refid=a3_420434_1006%3A1109983619%3AH%3ACCwRfMDgxvfhgR0aZLBdag%3D%3D%3Ab68a43a8a5ed7d5741eb3e6d76bdb127&amp;ali_trackid=318_b68a43a8a5ed7d5741eb3e6d76bdb127&amp;id=722740857813&amp;mi_id=0000VbSOvnBkaZfwc2qkx2pe6x2GMM4S_mvAL6H1Fip3B5I&amp;mm_sceneid=0_0_98938874_0&amp;priceTId=2147837b17749644794391025e1260&amp;skuId=5027572309332&amp;spm=a21n57.1.hoverItem.3&amp;utparam=%7B%22aplus_abtest%22%3A%22cdaf3a86c69d41dc7c40e3ef2d090f4f%22%7D&amp;xxc=ad_ztc</t>
  </si>
  <si>
    <t>蓝牙模块</t>
  </si>
  <si>
    <t>LED</t>
  </si>
  <si>
    <t>限流电阻</t>
  </si>
  <si>
    <t>https://detail.tmall.com/item.htm?abbucket=10&amp;id=14525748552&amp;mi_id=0000cIqmZPW3UhO2SgSu4SvQhYo-PJ_2vnGVAxGOr98LZ5s&amp;ns=1&amp;priceTId=2147837b17749645611716931e1260&amp;skuId=3799918661506&amp;spm=a21n57.1.hoverItem.2&amp;utparam=%7B%22aplus_abtest%22%3A%22f4517a6a3b20c5095a32bd99ba84b14c%22%7D&amp;xxc=taobaoSearch</t>
  </si>
  <si>
    <t>https://detail.tmall.com/item.htm?ali_refid=a3_430582_1006%3A1109983619%3AH%3AkKx3fUxQGQphf9rD7QDvXQ%3D%3D%3A22f9d4c81fcd2788f94730023c0b5467&amp;ali_trackid=318_22f9d4c81fcd2788f94730023c0b5467&amp;id=41236111853&amp;mi_id=0000l43h0g_Vi3C6YjNGoo1mLt-XaMD9Qt0k5Fiy-Yhtkks&amp;mm_sceneid=0_0_98938874_0&amp;priceTId=2147837b17749645988541353e1260&amp;skuId=5739964304362&amp;spm=a21n57.1.hoverItem.1&amp;utparam=%7B%22aplus_abtest%22%3A%228355b5d853f33e579fc822249ff3edfe%22%7D&amp;xxc=ad_ztc</t>
  </si>
  <si>
    <t>https://item.taobao.com/item.htm?abbucket=10&amp;id=1032157933313&amp;mi_id=00007s87JnfnRoqjRb6yTmd_o568TBQTu3faZ6jkHVFfTgM&amp;ns=1&amp;priceTId=2147837b17749654037953984e1260&amp;skuId=6045076964735&amp;spm=a21n57.1.hoverItem.13&amp;utparam=%7B%22aplus_abtest%22%3A%22e594e227a08d8dd25ce8c7fa15b21dc7%22%7D&amp;xxc=taobaoSearch</t>
  </si>
  <si>
    <t>哭声识别模块</t>
  </si>
  <si>
    <t>https://detail.tmall.com/item.htm?ali_refid=a3_420434_1006%3A1109983619%3AH%3AE%2BleXJNvOfNqQ2kSr5t07g%3D%3D%3Adea97d88ac1d9d7a40a453118c928739&amp;ali_trackid=318_dea97d88ac1d9d7a40a453118c928739&amp;id=678843875308&amp;mi_id=00002kZQu-RrXBpuQEBj_zWjZcJhY7k4onuoZ2Xreyu8RdI&amp;mm_sceneid=0_0_98938874_0&amp;spm=a21n57.1.hoverItem.2&amp;utparam=%7B%22aplus_abtest%22%3A%2214b13a06163ae970d4a80e091138da8d%22%7D&amp;xxc=ad_ztc</t>
  </si>
  <si>
    <t>微型马达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</si>
</sst>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1"/>
      <name val="宋体"/>
    </font>
    <font>
      <b/>
      <sz val="16"/>
      <name val="serif"/>
    </font>
    <font>
      <b/>
      <sz val="11"/>
      <color rgb="FF000000"/>
      <name val="serif"/>
      <family val="2"/>
    </font>
    <font>
      <b/>
      <sz val="11"/>
      <name val="serif"/>
    </font>
    <font>
      <sz val="10"/>
      <color rgb="FF000000"/>
      <name val="serif"/>
      <family val="2"/>
    </font>
    <font>
      <sz val="10"/>
      <name val="serif"/>
    </font>
    <font>
      <u/>
      <sz val="11"/>
      <color indexed="4"/>
      <name val="宋体"/>
      <family val="3"/>
      <charset val="134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</font>
    <font>
      <b/>
      <sz val="16"/>
      <name val="微软雅黑"/>
      <family val="2"/>
      <charset val="134"/>
    </font>
    <font>
      <b/>
      <sz val="10"/>
      <name val="serif"/>
    </font>
    <font>
      <sz val="10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1" xfId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1" defaultTableStyle="TableStylePreset3_Accent1">
    <tableStyle name="TableStylePreset3_Accent1" count="7" xr9:uid="{00000000-0011-0000-FFFF-FFFF00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10&amp;id=14525748552&amp;mi_id=0000cIqmZPW3UhO2SgSu4SvQhYo-PJ_2vnGVAxGOr98LZ5s&amp;ns=1&amp;priceTId=2147837b17749645611716931e1260&amp;skuId=3799918661506&amp;spm=a21n57.1.hoverItem.2&amp;utparam=%7B%22aplus_abtest%22%3A%22f4517a6a3b20c5095a32bd99ba84b14c%22%7D&amp;xxc=taobaoSearch" TargetMode="External"/><Relationship Id="rId3" Type="http://schemas.openxmlformats.org/officeDocument/2006/relationships/hyperlink" Target="https://item.taobao.com/item.htm?from=cart&amp;id=522572589576&amp;mi_id=00002-C7pr5Tj0gskJ_a7lmk-4hrl1pnxbulsdBpVXrj6M0&amp;spm=a1z0d.6639537%2F202410.item.d522572589576.23d77484QG8HZB&amp;upStreamPrice=176" TargetMode="External"/><Relationship Id="rId7" Type="http://schemas.openxmlformats.org/officeDocument/2006/relationships/hyperlink" Target="https://item.taobao.com/item.htm?abbucket=10&amp;id=989578787883&amp;mi_id=0000cmxU1v8GiiT-MTmIicFPgL0CNh2Ax1qA8g6VOwDWdI4&amp;ns=1&amp;spm=a21n57.1.hoverItem.4&amp;utparam=%7B%22aplus_abtest%22%3A%22a9b891d7e454d7d3864caf65af394c6d%22%7D&amp;xxc=taobaoSearch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item.taobao.com/item.htm?from=cart&amp;id=562145367495&amp;mi_id=0000w9WWqige3zDtQ8sZci3pfSrLA-g_MWoEEzYr1RURzjo&amp;skuId=4843968313715&amp;spm=a1z0d.6639537%2F202410.item.d562145367495.3b787484UpXFAU&amp;upStreamPrice=1089" TargetMode="External"/><Relationship Id="rId1" Type="http://schemas.openxmlformats.org/officeDocument/2006/relationships/hyperlink" Target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TargetMode="External"/><Relationship Id="rId6" Type="http://schemas.openxmlformats.org/officeDocument/2006/relationships/hyperlink" Target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TargetMode="External"/><Relationship Id="rId11" Type="http://schemas.openxmlformats.org/officeDocument/2006/relationships/hyperlink" Target="https://detail.tmall.com/item.htm?ali_refid=a3_420434_1006%3A1109983619%3AH%3AE%2BleXJNvOfNqQ2kSr5t07g%3D%3D%3Adea97d88ac1d9d7a40a453118c928739&amp;ali_trackid=318_dea97d88ac1d9d7a40a453118c928739&amp;id=678843875308&amp;mi_id=00002kZQu-RrXBpuQEBj_zWjZcJhY7k4onuoZ2Xreyu8RdI&amp;mm_sceneid=0_0_98938874_0&amp;spm=a21n57.1.hoverItem.2&amp;utparam=%7B%22aplus_abtest%22%3A%2214b13a06163ae970d4a80e091138da8d%22%7D&amp;xxc=ad_ztc" TargetMode="External"/><Relationship Id="rId5" Type="http://schemas.openxmlformats.org/officeDocument/2006/relationships/hyperlink" Target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TargetMode="External"/><Relationship Id="rId10" Type="http://schemas.openxmlformats.org/officeDocument/2006/relationships/hyperlink" Target="https://item.taobao.com/item.htm?abbucket=10&amp;id=1032157933313&amp;mi_id=00007s87JnfnRoqjRb6yTmd_o568TBQTu3faZ6jkHVFfTgM&amp;ns=1&amp;priceTId=2147837b17749654037953984e1260&amp;skuId=6045076964735&amp;spm=a21n57.1.hoverItem.13&amp;utparam=%7B%22aplus_abtest%22%3A%22e594e227a08d8dd25ce8c7fa15b21dc7%22%7D&amp;xxc=taobaoSearch" TargetMode="External"/><Relationship Id="rId4" Type="http://schemas.openxmlformats.org/officeDocument/2006/relationships/hyperlink" Target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TargetMode="External"/><Relationship Id="rId9" Type="http://schemas.openxmlformats.org/officeDocument/2006/relationships/hyperlink" Target="https://detail.tmall.com/item.htm?ali_refid=a3_430582_1006%3A1109983619%3AH%3AkKx3fUxQGQphf9rD7QDvXQ%3D%3D%3A22f9d4c81fcd2788f94730023c0b5467&amp;ali_trackid=318_22f9d4c81fcd2788f94730023c0b5467&amp;id=41236111853&amp;mi_id=0000l43h0g_Vi3C6YjNGoo1mLt-XaMD9Qt0k5Fiy-Yhtkks&amp;mm_sceneid=0_0_98938874_0&amp;priceTId=2147837b17749645988541353e1260&amp;skuId=5739964304362&amp;spm=a21n57.1.hoverItem.1&amp;utparam=%7B%22aplus_abtest%22%3A%228355b5d853f33e579fc822249ff3edfe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zoomScale="130" zoomScaleNormal="130" workbookViewId="0">
      <selection activeCell="O10" sqref="O10"/>
    </sheetView>
  </sheetViews>
  <sheetFormatPr defaultColWidth="10" defaultRowHeight="13.5"/>
  <cols>
    <col min="1" max="1" width="5.875" bestFit="1" customWidth="1"/>
    <col min="2" max="2" width="8.125" customWidth="1"/>
    <col min="3" max="3" width="6" customWidth="1"/>
    <col min="4" max="4" width="13.875" customWidth="1"/>
    <col min="5" max="5" width="14.125" customWidth="1"/>
    <col min="6" max="6" width="15.25" customWidth="1"/>
    <col min="7" max="7" width="14.75" customWidth="1"/>
    <col min="8" max="8" width="14.625" customWidth="1"/>
    <col min="9" max="9" width="14.5" customWidth="1"/>
    <col min="10" max="10" width="14.125" customWidth="1"/>
    <col min="11" max="11" width="18.25" customWidth="1"/>
    <col min="12" max="12" width="7.75" bestFit="1" customWidth="1"/>
    <col min="13" max="13" width="6.25" bestFit="1" customWidth="1"/>
    <col min="14" max="14" width="9.5" bestFit="1" customWidth="1"/>
    <col min="15" max="15" width="40.75" customWidth="1"/>
  </cols>
  <sheetData>
    <row r="1" spans="1:17" ht="20.25">
      <c r="A1" s="10" t="s">
        <v>24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27.75" customHeight="1">
      <c r="A2" s="12" t="s">
        <v>0</v>
      </c>
      <c r="B2" s="12"/>
      <c r="C2" s="12"/>
      <c r="D2" s="12" t="s">
        <v>1</v>
      </c>
      <c r="E2" s="12"/>
      <c r="F2" s="12"/>
      <c r="G2" s="12"/>
      <c r="H2" s="12"/>
      <c r="I2" s="12"/>
      <c r="J2" s="12"/>
      <c r="K2" s="12"/>
      <c r="L2" s="1" t="s">
        <v>2</v>
      </c>
      <c r="M2" s="2" t="s">
        <v>3</v>
      </c>
      <c r="N2" s="2" t="s">
        <v>4</v>
      </c>
      <c r="O2" s="2" t="s">
        <v>5</v>
      </c>
    </row>
    <row r="3" spans="1:17" ht="26.25" customHeight="1">
      <c r="A3" s="13" t="s">
        <v>10</v>
      </c>
      <c r="B3" s="13"/>
      <c r="C3" s="13"/>
      <c r="D3" s="14" t="s">
        <v>13</v>
      </c>
      <c r="E3" s="12"/>
      <c r="F3" s="12"/>
      <c r="G3" s="12"/>
      <c r="H3" s="12"/>
      <c r="I3" s="12"/>
      <c r="J3" s="12"/>
      <c r="K3" s="12"/>
      <c r="L3" s="3">
        <v>12.1</v>
      </c>
      <c r="M3" s="3">
        <v>1</v>
      </c>
      <c r="N3" s="3">
        <f>L3</f>
        <v>12.1</v>
      </c>
      <c r="O3" s="3" t="s">
        <v>10</v>
      </c>
      <c r="P3" s="3"/>
      <c r="Q3" s="3"/>
    </row>
    <row r="4" spans="1:17" ht="26.25" customHeight="1">
      <c r="A4" s="13" t="s">
        <v>23</v>
      </c>
      <c r="B4" s="13"/>
      <c r="C4" s="13"/>
      <c r="D4" s="14" t="s">
        <v>22</v>
      </c>
      <c r="E4" s="14"/>
      <c r="F4" s="14"/>
      <c r="G4" s="14"/>
      <c r="H4" s="14"/>
      <c r="I4" s="14"/>
      <c r="J4" s="14"/>
      <c r="K4" s="14"/>
      <c r="L4" s="3">
        <v>4</v>
      </c>
      <c r="M4" s="3">
        <v>1</v>
      </c>
      <c r="N4" s="3">
        <v>4</v>
      </c>
      <c r="O4" s="3" t="str">
        <f>A4</f>
        <v>麦克风声音传感器模块</v>
      </c>
      <c r="P4" s="3"/>
      <c r="Q4" s="3"/>
    </row>
    <row r="5" spans="1:17" ht="26.25" customHeight="1">
      <c r="A5" s="13" t="s">
        <v>26</v>
      </c>
      <c r="B5" s="13"/>
      <c r="C5" s="13"/>
      <c r="D5" s="14" t="s">
        <v>25</v>
      </c>
      <c r="E5" s="14"/>
      <c r="F5" s="14"/>
      <c r="G5" s="14"/>
      <c r="H5" s="14"/>
      <c r="I5" s="14"/>
      <c r="J5" s="14"/>
      <c r="K5" s="14"/>
      <c r="L5" s="3">
        <v>12.2</v>
      </c>
      <c r="M5" s="3">
        <v>1</v>
      </c>
      <c r="N5" s="3">
        <v>12.2</v>
      </c>
      <c r="O5" s="3" t="str">
        <f>A5</f>
        <v>蓝牙模块</v>
      </c>
      <c r="P5" s="3"/>
      <c r="Q5" s="3"/>
    </row>
    <row r="6" spans="1:17" ht="24.75" customHeight="1">
      <c r="A6" s="15" t="s">
        <v>11</v>
      </c>
      <c r="B6" s="7"/>
      <c r="C6" s="7"/>
      <c r="D6" s="8" t="s">
        <v>14</v>
      </c>
      <c r="E6" s="9"/>
      <c r="F6" s="9"/>
      <c r="G6" s="9"/>
      <c r="H6" s="9"/>
      <c r="I6" s="9"/>
      <c r="J6" s="9"/>
      <c r="K6" s="9"/>
      <c r="L6" s="3">
        <v>12.35</v>
      </c>
      <c r="M6" s="3">
        <v>1</v>
      </c>
      <c r="N6" s="3">
        <f t="shared" ref="N6:N15" si="0">L6</f>
        <v>12.35</v>
      </c>
      <c r="O6" s="3" t="str">
        <f>A6</f>
        <v>0.96寸OLED</v>
      </c>
      <c r="P6" s="3"/>
      <c r="Q6" s="3"/>
    </row>
    <row r="7" spans="1:17" ht="24.75" customHeight="1">
      <c r="A7" s="7" t="s">
        <v>27</v>
      </c>
      <c r="B7" s="7"/>
      <c r="C7" s="7"/>
      <c r="D7" s="8" t="s">
        <v>29</v>
      </c>
      <c r="E7" s="8"/>
      <c r="F7" s="8"/>
      <c r="G7" s="8"/>
      <c r="H7" s="8"/>
      <c r="I7" s="8"/>
      <c r="J7" s="8"/>
      <c r="K7" s="8"/>
      <c r="L7" s="3">
        <v>3.1</v>
      </c>
      <c r="M7" s="3">
        <v>1</v>
      </c>
      <c r="N7" s="3">
        <v>3.1</v>
      </c>
      <c r="O7" s="3" t="str">
        <f t="shared" ref="O7:O8" si="1">A7</f>
        <v>LED</v>
      </c>
      <c r="P7" s="3"/>
      <c r="Q7" s="3"/>
    </row>
    <row r="8" spans="1:17" ht="24.75" customHeight="1">
      <c r="A8" s="7" t="s">
        <v>28</v>
      </c>
      <c r="B8" s="7"/>
      <c r="C8" s="7"/>
      <c r="D8" s="8" t="s">
        <v>30</v>
      </c>
      <c r="E8" s="8"/>
      <c r="F8" s="8"/>
      <c r="G8" s="8"/>
      <c r="H8" s="8"/>
      <c r="I8" s="8"/>
      <c r="J8" s="8"/>
      <c r="K8" s="8"/>
      <c r="L8" s="3">
        <v>5.39</v>
      </c>
      <c r="M8" s="3">
        <v>1</v>
      </c>
      <c r="N8" s="3">
        <v>5.39</v>
      </c>
      <c r="O8" s="3" t="str">
        <f t="shared" si="1"/>
        <v>限流电阻</v>
      </c>
      <c r="P8" s="3"/>
      <c r="Q8" s="3"/>
    </row>
    <row r="9" spans="1:17" ht="24.75" customHeight="1">
      <c r="A9" s="7" t="s">
        <v>15</v>
      </c>
      <c r="B9" s="7"/>
      <c r="C9" s="7"/>
      <c r="D9" s="8" t="s">
        <v>18</v>
      </c>
      <c r="E9" s="8"/>
      <c r="F9" s="8"/>
      <c r="G9" s="8"/>
      <c r="H9" s="8"/>
      <c r="I9" s="8"/>
      <c r="J9" s="8"/>
      <c r="K9" s="8"/>
      <c r="L9" s="3">
        <v>3.26</v>
      </c>
      <c r="M9" s="3">
        <v>1</v>
      </c>
      <c r="N9" s="3">
        <f t="shared" si="0"/>
        <v>3.26</v>
      </c>
      <c r="O9" s="3" t="str">
        <f t="shared" ref="O9:O14" si="2">A9</f>
        <v>蜂鸣器</v>
      </c>
      <c r="P9" s="3"/>
      <c r="Q9" s="3"/>
    </row>
    <row r="10" spans="1:17" ht="24.75" customHeight="1">
      <c r="A10" s="7" t="s">
        <v>16</v>
      </c>
      <c r="B10" s="7"/>
      <c r="C10" s="7"/>
      <c r="D10" s="8" t="s">
        <v>19</v>
      </c>
      <c r="E10" s="9"/>
      <c r="F10" s="9"/>
      <c r="G10" s="9"/>
      <c r="H10" s="9"/>
      <c r="I10" s="9"/>
      <c r="J10" s="9"/>
      <c r="K10" s="9"/>
      <c r="L10" s="3">
        <v>3.57</v>
      </c>
      <c r="M10" s="3">
        <v>1</v>
      </c>
      <c r="N10" s="3">
        <f t="shared" si="0"/>
        <v>3.57</v>
      </c>
      <c r="O10" s="3" t="str">
        <f t="shared" si="2"/>
        <v>按键</v>
      </c>
      <c r="P10" s="3"/>
      <c r="Q10" s="3"/>
    </row>
    <row r="11" spans="1:17" ht="24.75" customHeight="1">
      <c r="A11" s="7" t="s">
        <v>17</v>
      </c>
      <c r="B11" s="7"/>
      <c r="C11" s="7"/>
      <c r="D11" s="8" t="s">
        <v>20</v>
      </c>
      <c r="E11" s="9"/>
      <c r="F11" s="9"/>
      <c r="G11" s="9"/>
      <c r="H11" s="9"/>
      <c r="I11" s="9"/>
      <c r="J11" s="9"/>
      <c r="K11" s="9"/>
      <c r="L11" s="3">
        <v>12.9</v>
      </c>
      <c r="M11" s="3">
        <v>1</v>
      </c>
      <c r="N11" s="3">
        <f>L11</f>
        <v>12.9</v>
      </c>
      <c r="O11" s="3" t="str">
        <f t="shared" si="2"/>
        <v>锡丝</v>
      </c>
      <c r="P11" s="3"/>
      <c r="Q11" s="3"/>
    </row>
    <row r="12" spans="1:17" ht="24.75" customHeight="1">
      <c r="A12" s="7" t="s">
        <v>12</v>
      </c>
      <c r="B12" s="7"/>
      <c r="C12" s="7"/>
      <c r="D12" s="8" t="s">
        <v>21</v>
      </c>
      <c r="E12" s="9"/>
      <c r="F12" s="9"/>
      <c r="G12" s="9"/>
      <c r="H12" s="9"/>
      <c r="I12" s="9"/>
      <c r="J12" s="9"/>
      <c r="K12" s="9"/>
      <c r="L12" s="3">
        <v>3</v>
      </c>
      <c r="M12" s="3">
        <v>1</v>
      </c>
      <c r="N12" s="3">
        <f t="shared" si="0"/>
        <v>3</v>
      </c>
      <c r="O12" s="3" t="str">
        <f t="shared" si="2"/>
        <v>排母</v>
      </c>
      <c r="P12" s="3"/>
      <c r="Q12" s="3"/>
    </row>
    <row r="13" spans="1:17" ht="24.75" customHeight="1">
      <c r="A13" s="7" t="s">
        <v>32</v>
      </c>
      <c r="B13" s="7"/>
      <c r="C13" s="7"/>
      <c r="D13" s="8" t="s">
        <v>31</v>
      </c>
      <c r="E13" s="8"/>
      <c r="F13" s="8"/>
      <c r="G13" s="8"/>
      <c r="H13" s="8"/>
      <c r="I13" s="8"/>
      <c r="J13" s="8"/>
      <c r="K13" s="8"/>
      <c r="L13" s="3">
        <v>27.38</v>
      </c>
      <c r="M13" s="3">
        <v>1</v>
      </c>
      <c r="N13" s="3">
        <f t="shared" ref="N13:N14" si="3">L13</f>
        <v>27.38</v>
      </c>
      <c r="O13" s="3" t="str">
        <f t="shared" ref="O13:O14" si="4">A13</f>
        <v>哭声识别模块</v>
      </c>
    </row>
    <row r="14" spans="1:17" ht="24.75" customHeight="1">
      <c r="A14" s="7" t="s">
        <v>34</v>
      </c>
      <c r="B14" s="7"/>
      <c r="C14" s="7"/>
      <c r="D14" s="8" t="s">
        <v>33</v>
      </c>
      <c r="E14" s="8"/>
      <c r="F14" s="8"/>
      <c r="G14" s="8"/>
      <c r="H14" s="8"/>
      <c r="I14" s="8"/>
      <c r="J14" s="8"/>
      <c r="K14" s="8"/>
      <c r="L14" s="3">
        <v>4.5</v>
      </c>
      <c r="M14" s="3">
        <v>1</v>
      </c>
      <c r="N14" s="3">
        <f t="shared" si="3"/>
        <v>4.5</v>
      </c>
      <c r="O14" s="3" t="str">
        <f t="shared" si="4"/>
        <v>微型马达</v>
      </c>
    </row>
    <row r="15" spans="1:17" ht="24.75" customHeight="1">
      <c r="A15" s="7" t="s">
        <v>9</v>
      </c>
      <c r="B15" s="7"/>
      <c r="C15" s="7"/>
      <c r="D15" s="8" t="s">
        <v>8</v>
      </c>
      <c r="E15" s="9"/>
      <c r="F15" s="9"/>
      <c r="G15" s="9"/>
      <c r="H15" s="9"/>
      <c r="I15" s="9"/>
      <c r="J15" s="9"/>
      <c r="K15" s="9"/>
      <c r="L15" s="3">
        <v>20</v>
      </c>
      <c r="M15" s="3">
        <v>1</v>
      </c>
      <c r="N15" s="3">
        <f t="shared" si="0"/>
        <v>20</v>
      </c>
      <c r="O15" s="3" t="s">
        <v>7</v>
      </c>
    </row>
    <row r="16" spans="1:17" ht="23.25" customHeight="1">
      <c r="A16" s="5" t="s">
        <v>6</v>
      </c>
      <c r="B16" s="6">
        <f>SUM(N3:N15)</f>
        <v>123.75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9" spans="8:8" ht="14.1" customHeight="1">
      <c r="H19" s="4"/>
    </row>
  </sheetData>
  <mergeCells count="30">
    <mergeCell ref="A4:C4"/>
    <mergeCell ref="D4:K4"/>
    <mergeCell ref="A7:C7"/>
    <mergeCell ref="D7:K7"/>
    <mergeCell ref="A13:C13"/>
    <mergeCell ref="D13:K13"/>
    <mergeCell ref="A5:C5"/>
    <mergeCell ref="D5:K5"/>
    <mergeCell ref="A11:C11"/>
    <mergeCell ref="D11:K11"/>
    <mergeCell ref="A6:C6"/>
    <mergeCell ref="D6:K6"/>
    <mergeCell ref="D10:K10"/>
    <mergeCell ref="A10:C10"/>
    <mergeCell ref="A8:C8"/>
    <mergeCell ref="D8:K8"/>
    <mergeCell ref="A9:C9"/>
    <mergeCell ref="D9:K9"/>
    <mergeCell ref="A1:O1"/>
    <mergeCell ref="D2:K2"/>
    <mergeCell ref="A2:C2"/>
    <mergeCell ref="A3:C3"/>
    <mergeCell ref="D3:K3"/>
    <mergeCell ref="B16:C16"/>
    <mergeCell ref="A15:C15"/>
    <mergeCell ref="D15:K15"/>
    <mergeCell ref="A12:C12"/>
    <mergeCell ref="D12:K12"/>
    <mergeCell ref="A14:C14"/>
    <mergeCell ref="D14:K14"/>
  </mergeCells>
  <phoneticPr fontId="8" type="noConversion"/>
  <hyperlinks>
    <hyperlink ref="D3" r:id="rId1" display="https://item.taobao.com/item.htm?abbucket=10&amp;id=620064088112&amp;mi_id=0000moTDEEXN3mUVy09EuNHjXQAJJX9qLr0QPpirAPhv3Is&amp;ns=1&amp;priceTId=213e079817749532474504430e1380&amp;skuId=5288578994316&amp;spm=a21n57.1.hoverItem.2&amp;utparam=%7B%22aplus_abtest%22%3A%227ea4b001224627425db100eb0aef8f43%22%7D&amp;xxc=taobaoSearch" xr:uid="{ADDAD535-D337-4FFD-9D96-E71668258876}"/>
    <hyperlink ref="D6" r:id="rId2" xr:uid="{7B7E3558-F859-4855-81F1-04FC30972742}"/>
    <hyperlink ref="D9" r:id="rId3" xr:uid="{EF414EDB-2AE5-4BA0-B647-7A9AA9B5026E}"/>
    <hyperlink ref="D10" r:id="rId4" display="https://detail.tmall.com/item.htm?abbucket=10&amp;id=15876519188&amp;mi_id=0000m4iRCMNAj-rIETllq8K2WV8rmAlS69y9_xKHpgCLmFY&amp;ns=1&amp;priceTId=214784df17749540124476872e1359&amp;skuId=4166613897106&amp;spm=a21n57.1.hoverItem.5&amp;utparam=%7B%22aplus_abtest%22%3A%22cfc16d6c2442923846b9de157cf3a42b%22%7D&amp;xxc=taobaoSearch" xr:uid="{1684B95C-C835-44D8-AB81-FDA5025FBF86}"/>
    <hyperlink ref="D11" r:id="rId5" display="https://detail.tmall.com/item.htm?ali_refid=a3_430582_1006%3A2692409418%3AH%3Aqb4O%2BSy43Jxwr8kbMY1C1g%3D%3D%3Afdabdb0420b7b5240539dc736884b509&amp;ali_trackid=318_fdabdb0420b7b5240539dc736884b509&amp;id=972137046228&amp;mi_id=0000STl7H7xkv38K1FUU0tLxH2nUdzvAJOSx7DrtOCCOWTU&amp;mm_sceneid=0_0_9697686392_0&amp;priceTId=214784df17749540839543402e1359&amp;skuId=5923059484108&amp;spm=a21n57.1.hoverItem.1&amp;utparam=%7B%22aplus_abtest%22%3A%22c44c3a2faf055954707bfd9cf0b811cf%22%7D&amp;xxc=ad_ztc" xr:uid="{51B174F5-6BB2-4279-AB76-F1BD180812B4}"/>
    <hyperlink ref="D12" r:id="rId6" display="https://item.taobao.com/item.htm?abbucket=10&amp;id=522579376259&amp;mi_id=0000vhsbTI0e7o27yKg1NV_JRrEO9jjlEKo0pTs2YASt9Ok&amp;ns=1&amp;priceTId=214784df17749543602033346e1359&amp;skuId=6139961763391&amp;spm=a21n57.1.hoverItem.2&amp;utparam=%7B%22aplus_abtest%22%3A%225b3999a20d242dd162290fc364d734eb%22%7D&amp;xxc=taobaoSearch" xr:uid="{977B3394-74E9-4C28-9A7A-2D78E2EF1D61}"/>
    <hyperlink ref="D4" r:id="rId7" xr:uid="{B8F016A8-F9D3-4BBE-A1A8-130A5B9451E5}"/>
    <hyperlink ref="D7" r:id="rId8" display="https://detail.tmall.com/item.htm?abbucket=10&amp;id=14525748552&amp;mi_id=0000cIqmZPW3UhO2SgSu4SvQhYo-PJ_2vnGVAxGOr98LZ5s&amp;ns=1&amp;priceTId=2147837b17749645611716931e1260&amp;skuId=3799918661506&amp;spm=a21n57.1.hoverItem.2&amp;utparam=%7B%22aplus_abtest%22%3A%22f4517a6a3b20c5095a32bd99ba84b14c%22%7D&amp;xxc=taobaoSearch" xr:uid="{1DD1F2CB-3021-4595-8523-D998AB699B75}"/>
    <hyperlink ref="D8" r:id="rId9" display="https://detail.tmall.com/item.htm?ali_refid=a3_430582_1006%3A1109983619%3AH%3AkKx3fUxQGQphf9rD7QDvXQ%3D%3D%3A22f9d4c81fcd2788f94730023c0b5467&amp;ali_trackid=318_22f9d4c81fcd2788f94730023c0b5467&amp;id=41236111853&amp;mi_id=0000l43h0g_Vi3C6YjNGoo1mLt-XaMD9Qt0k5Fiy-Yhtkks&amp;mm_sceneid=0_0_98938874_0&amp;priceTId=2147837b17749645988541353e1260&amp;skuId=5739964304362&amp;spm=a21n57.1.hoverItem.1&amp;utparam=%7B%22aplus_abtest%22%3A%228355b5d853f33e579fc822249ff3edfe%22%7D&amp;xxc=ad_ztc" xr:uid="{BC905400-3B29-41A4-ACF1-ADB5DEBBC98F}"/>
    <hyperlink ref="D13" r:id="rId10" display="https://item.taobao.com/item.htm?abbucket=10&amp;id=1032157933313&amp;mi_id=00007s87JnfnRoqjRb6yTmd_o568TBQTu3faZ6jkHVFfTgM&amp;ns=1&amp;priceTId=2147837b17749654037953984e1260&amp;skuId=6045076964735&amp;spm=a21n57.1.hoverItem.13&amp;utparam=%7B%22aplus_abtest%22%3A%22e594e227a08d8dd25ce8c7fa15b21dc7%22%7D&amp;xxc=taobaoSearch" xr:uid="{958B6999-1555-4102-AF8A-5384E16243F2}"/>
    <hyperlink ref="D14" r:id="rId11" display="https://detail.tmall.com/item.htm?ali_refid=a3_420434_1006%3A1109983619%3AH%3AE%2BleXJNvOfNqQ2kSr5t07g%3D%3D%3Adea97d88ac1d9d7a40a453118c928739&amp;ali_trackid=318_dea97d88ac1d9d7a40a453118c928739&amp;id=678843875308&amp;mi_id=00002kZQu-RrXBpuQEBj_zWjZcJhY7k4onuoZ2Xreyu8RdI&amp;mm_sceneid=0_0_98938874_0&amp;spm=a21n57.1.hoverItem.2&amp;utparam=%7B%22aplus_abtest%22%3A%2214b13a06163ae970d4a80e091138da8d%22%7D&amp;xxc=ad_ztc" xr:uid="{004F2035-AC4F-444D-A3AB-6B0B19275739}"/>
  </hyperlinks>
  <pageMargins left="0.75" right="0.75" top="1" bottom="1" header="0.51180555555555596" footer="0.51180555555555596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30" workbookViewId="0"/>
  </sheetViews>
  <sheetFormatPr defaultColWidth="10" defaultRowHeight="13.5"/>
  <sheetData/>
  <phoneticPr fontId="8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不二</dc:creator>
  <cp:lastModifiedBy>dong He</cp:lastModifiedBy>
  <dcterms:created xsi:type="dcterms:W3CDTF">2024-01-09T21:26:37Z</dcterms:created>
  <dcterms:modified xsi:type="dcterms:W3CDTF">2026-03-31T14:04:19Z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9acb55dc3d3041b1b9ea411ad43e7201_23</vt:lpwstr>
  </property>
  <property fmtid="{D5CDD505-2E9C-101B-9397-08002B2CF9AE}" pid="4" name="KSOProductBuildVer">
    <vt:lpwstr>2052-12.7.0</vt:lpwstr>
  </property>
</Properties>
</file>