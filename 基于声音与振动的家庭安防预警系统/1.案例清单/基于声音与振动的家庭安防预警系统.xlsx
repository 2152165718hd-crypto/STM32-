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0\基于声音与振动的家庭安防预警系统\1.案例清单\"/>
    </mc:Choice>
  </mc:AlternateContent>
  <xr:revisionPtr revIDLastSave="0" documentId="13_ncr:1_{D61DF8D4-87DF-4BC3-9B08-8877CF7A67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" l="1"/>
  <c r="O7" i="1"/>
  <c r="O8" i="1"/>
  <c r="O5" i="1"/>
  <c r="B14" i="1"/>
  <c r="N6" i="1"/>
  <c r="N7" i="1"/>
  <c r="N8" i="1"/>
  <c r="N5" i="1"/>
  <c r="O9" i="1"/>
  <c r="N3" i="1"/>
  <c r="N4" i="1"/>
</calcChain>
</file>

<file path=xl/sharedStrings.xml><?xml version="1.0" encoding="utf-8"?>
<sst xmlns="http://schemas.openxmlformats.org/spreadsheetml/2006/main" count="36" uniqueCount="31">
  <si>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</si>
  <si>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</si>
  <si>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</si>
  <si>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</si>
  <si>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</si>
  <si>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</si>
  <si>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</si>
  <si>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</si>
  <si>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</si>
  <si>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</si>
  <si>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</si>
  <si>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</si>
  <si>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</si>
  <si>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</si>
  <si>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</si>
  <si>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</si>
  <si>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</si>
  <si>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</si>
  <si>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</si>
  <si>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https://detail.tmall.com/item.htm?ali_refid=a3_430582_1006%3A1303560141%3AH%3ABt664A9f4LgL69LZxL%2Biz4rxguGcfBp1rxow4qUDZaA%3D%3Ab7566a3b8d73efcc31c4622fb674b825&amp;ali_trackid=318_b7566a3b8d73efcc31c4622fb674b825&amp;id=676843581731&amp;mi_id=0000XR0h2BLXAHwL7-eAM5la7JZDwb6y7EX6H4iLSTAoz3k&amp;mm_sceneid=0_0_727720075_0&amp;priceTId=214781bc17758139358803732e1040&amp;skuId=5064710945904&amp;spm=a21n57.1.hoverItem.1&amp;utparam=%7B%22aplus_abtest%22%3A%2262117619f600c65d5cc81605392925ab%22%7D&amp;xxc=ad_ztc</t>
  </si>
  <si>
    <t>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</t>
  </si>
  <si>
    <t>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</t>
  </si>
  <si>
    <t>MAX4466麦克风模块</t>
  </si>
  <si>
    <t>电陶瓷振动传感器</t>
  </si>
  <si>
    <t>ESP8266</t>
  </si>
  <si>
    <t>锡丝</t>
  </si>
  <si>
    <t>https://detail.tmall.com/item.htm?ali_refid=a3_430582_1006%3A2718257268%3AH%3A%2FRczfX8TwM9xsv5jxkSIcn2trDRs9%2Fqc%3A404267a3359218a472852e95a6529ada&amp;ali_trackid=282_404267a3359218a472852e95a6529ada&amp;id=1010583867689&amp;mi_id=0000X694rUQtD3Xy8f3yfr8Q6LSJOmVZMFuibaL9Dy2Q8o8&amp;mm_sceneid=1_0_9870014449_0&amp;priceTId=2147824517763376309934851e141f&amp;skuId=6179041035827&amp;spm=a21n57.1.hoverItem.1&amp;utparam=%7B%22aplus_abtest%22%3A%229074b2e997defda17bdd1a152348c5cf%22%7D&amp;xxc=ad_ztc</t>
  </si>
  <si>
    <t>https://item.taobao.com/item.htm?abbucket=10&amp;id=876901136355&amp;mi_id=0000FDgd0WdPrjUeCCfDoGLoRF8m55kBOyE0WpvXEol5Qp0&amp;ns=1&amp;priceTId=2147841417763376779481268e10fe&amp;skuId=5738164101768&amp;spm=a21n57.1.hoverItem.5&amp;utparam=%7B%22aplus_abtest%22%3A%2287a4b8e6deea8cf94dec96c6c8bfe7a9%22%7D&amp;xxc=taobaoSearch</t>
  </si>
  <si>
    <t>https://item.taobao.com/item.htm?ali_refid=a3_430582_1006%3A1150010022%3AH%3AUomXtRFN%2BGwduV5sjk00JA%3D%3D%3Ac3b7890c75bddcfc25aa876ba3dbd9ec&amp;ali_trackid=282_c3b7890c75bddcfc25aa876ba3dbd9ec&amp;id=543468772547&amp;mi_id=0000_-GgDSW6L4_LTPP9kotaEjdCAUDbUcP6pv4-3CsDA-c&amp;mm_sceneid=1_0_121832529_0&amp;priceTId=215044f317763377959494835e0c8e&amp;skuId=4994815692417&amp;spm=a21n57.1.hoverItem.1&amp;utparam=%7B%22aplus_abtest%22%3A%223670974982c1b99e0918d9034884d0b7%22%7D&amp;xxc=ad_ztc</t>
  </si>
  <si>
    <t>https://detail.tmall.com/item.htm?abbucket=10&amp;id=812251844151&amp;mi_id=0000_AfzIrfzpvJKPRxRw7qLIa9gjqTRvTVz2SZPz-vep1U&amp;ns=1&amp;priceTId=215046ae17763378785755347e140d&amp;skuId=5591088640273&amp;spm=a21n57.1.hoverItem.2&amp;utparam=%7B%22aplus_abtest%22%3A%226495947a3426c7e9cd836d33faacdb1e%22%7D&amp;xxc=taobaoSearch</t>
  </si>
  <si>
    <t>基于声音与振动的家庭安防预警系统采购清单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</si>
</sst>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1" xfId="1" applyFill="1" applyBorder="1">
      <alignment vertical="center"/>
    </xf>
    <xf numFmtId="0" fontId="0" fillId="0" borderId="1" xfId="0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li_refid=a3_430582_1006%3A1150010022%3AH%3AUomXtRFN%2BGwduV5sjk00JA%3D%3D%3Ac3b7890c75bddcfc25aa876ba3dbd9ec&amp;ali_trackid=282_c3b7890c75bddcfc25aa876ba3dbd9ec&amp;id=543468772547&amp;mi_id=0000_-GgDSW6L4_LTPP9kotaEjdCAUDbUcP6pv4-3CsDA-c&amp;mm_sceneid=1_0_121832529_0&amp;priceTId=215044f317763377959494835e0c8e&amp;skuId=4994815692417&amp;spm=a21n57.1.hoverItem.1&amp;utparam=%7B%22aplus_abtest%22%3A%223670974982c1b99e0918d9034884d0b7%22%7D&amp;xxc=ad_ztc" TargetMode="External"/><Relationship Id="rId3" Type="http://schemas.openxmlformats.org/officeDocument/2006/relationships/hyperlink" Target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TargetMode="External"/><Relationship Id="rId7" Type="http://schemas.openxmlformats.org/officeDocument/2006/relationships/hyperlink" Target="https://item.taobao.com/item.htm?abbucket=10&amp;id=876901136355&amp;mi_id=0000FDgd0WdPrjUeCCfDoGLoRF8m55kBOyE0WpvXEol5Qp0&amp;ns=1&amp;priceTId=2147841417763376779481268e10fe&amp;skuId=5738164101768&amp;spm=a21n57.1.hoverItem.5&amp;utparam=%7B%22aplus_abtest%22%3A%2287a4b8e6deea8cf94dec96c6c8bfe7a9%22%7D&amp;xxc=taobaoSearch" TargetMode="External"/><Relationship Id="rId2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6" Type="http://schemas.openxmlformats.org/officeDocument/2006/relationships/hyperlink" Target="https://detail.tmall.com/item.htm?ali_refid=a3_430582_1006%3A2718257268%3AH%3A%2FRczfX8TwM9xsv5jxkSIcn2trDRs9%2Fqc%3A404267a3359218a472852e95a6529ada&amp;ali_trackid=282_404267a3359218a472852e95a6529ada&amp;id=1010583867689&amp;mi_id=0000X694rUQtD3Xy8f3yfr8Q6LSJOmVZMFuibaL9Dy2Q8o8&amp;mm_sceneid=1_0_9870014449_0&amp;priceTId=2147824517763376309934851e141f&amp;skuId=6179041035827&amp;spm=a21n57.1.hoverItem.1&amp;utparam=%7B%22aplus_abtest%22%3A%229074b2e997defda17bdd1a152348c5cf%22%7D&amp;xxc=ad_ztc" TargetMode="External"/><Relationship Id="rId5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TargetMode="External"/><Relationship Id="rId9" Type="http://schemas.openxmlformats.org/officeDocument/2006/relationships/hyperlink" Target="https://detail.tmall.com/item.htm?abbucket=10&amp;id=812251844151&amp;mi_id=0000_AfzIrfzpvJKPRxRw7qLIa9gjqTRvTVz2SZPz-vep1U&amp;ns=1&amp;priceTId=215046ae17763378785755347e140d&amp;skuId=5591088640273&amp;spm=a21n57.1.hoverItem.2&amp;utparam=%7B%22aplus_abtest%22%3A%226495947a3426c7e9cd836d33faacdb1e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zoomScale="130" zoomScaleNormal="130" workbookViewId="0">
      <selection activeCell="A2" sqref="A2:C2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8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7" ht="27.75" customHeight="1">
      <c r="A2" s="11" t="s">
        <v>0</v>
      </c>
      <c r="B2" s="11"/>
      <c r="C2" s="11"/>
      <c r="D2" s="11" t="s">
        <v>1</v>
      </c>
      <c r="E2" s="11"/>
      <c r="F2" s="11"/>
      <c r="G2" s="11"/>
      <c r="H2" s="11"/>
      <c r="I2" s="11"/>
      <c r="J2" s="11"/>
      <c r="K2" s="11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9" t="s">
        <v>7</v>
      </c>
      <c r="B3" s="9"/>
      <c r="C3" s="9"/>
      <c r="D3" s="10" t="s">
        <v>19</v>
      </c>
      <c r="E3" s="10"/>
      <c r="F3" s="10"/>
      <c r="G3" s="10"/>
      <c r="H3" s="10"/>
      <c r="I3" s="10"/>
      <c r="J3" s="10"/>
      <c r="K3" s="10"/>
      <c r="L3" s="4">
        <v>13.95</v>
      </c>
      <c r="M3" s="4">
        <v>1</v>
      </c>
      <c r="N3" s="4">
        <f t="shared" ref="N3:N4" si="0">L3</f>
        <v>13.95</v>
      </c>
      <c r="O3" s="6" t="s">
        <v>7</v>
      </c>
    </row>
    <row r="4" spans="1:17" ht="23.25" customHeight="1">
      <c r="A4" s="9" t="s">
        <v>8</v>
      </c>
      <c r="B4" s="9"/>
      <c r="C4" s="9"/>
      <c r="D4" s="12" t="s">
        <v>20</v>
      </c>
      <c r="E4" s="13"/>
      <c r="F4" s="13"/>
      <c r="G4" s="13"/>
      <c r="H4" s="13"/>
      <c r="I4" s="13"/>
      <c r="J4" s="13"/>
      <c r="K4" s="13"/>
      <c r="L4" s="4">
        <v>13.39</v>
      </c>
      <c r="M4" s="3">
        <v>1</v>
      </c>
      <c r="N4" s="4">
        <f t="shared" si="0"/>
        <v>13.39</v>
      </c>
      <c r="O4" s="4" t="s">
        <v>8</v>
      </c>
    </row>
    <row r="5" spans="1:17" ht="26.25" customHeight="1">
      <c r="A5" s="9" t="s">
        <v>22</v>
      </c>
      <c r="B5" s="9"/>
      <c r="C5" s="9"/>
      <c r="D5" s="10" t="s">
        <v>27</v>
      </c>
      <c r="E5" s="11"/>
      <c r="F5" s="11"/>
      <c r="G5" s="11"/>
      <c r="H5" s="11"/>
      <c r="I5" s="11"/>
      <c r="J5" s="11"/>
      <c r="K5" s="11"/>
      <c r="L5" s="4">
        <v>16.899999999999999</v>
      </c>
      <c r="M5" s="8">
        <v>1</v>
      </c>
      <c r="N5" s="4">
        <f>L5</f>
        <v>16.899999999999999</v>
      </c>
      <c r="O5" s="6" t="str">
        <f>A5</f>
        <v>MAX4466麦克风模块</v>
      </c>
    </row>
    <row r="6" spans="1:17" ht="26.25" customHeight="1">
      <c r="A6" s="9" t="s">
        <v>23</v>
      </c>
      <c r="B6" s="9"/>
      <c r="C6" s="9"/>
      <c r="D6" s="10" t="s">
        <v>26</v>
      </c>
      <c r="E6" s="11"/>
      <c r="F6" s="11"/>
      <c r="G6" s="11"/>
      <c r="H6" s="11"/>
      <c r="I6" s="11"/>
      <c r="J6" s="11"/>
      <c r="K6" s="11"/>
      <c r="L6" s="4">
        <v>12.09</v>
      </c>
      <c r="M6" s="8">
        <v>1</v>
      </c>
      <c r="N6" s="4">
        <f t="shared" ref="N6:N8" si="1">L6</f>
        <v>12.09</v>
      </c>
      <c r="O6" s="6" t="str">
        <f t="shared" ref="O6:O8" si="2">A6</f>
        <v>电陶瓷振动传感器</v>
      </c>
    </row>
    <row r="7" spans="1:17" ht="26.25" customHeight="1">
      <c r="A7" s="9" t="s">
        <v>24</v>
      </c>
      <c r="B7" s="9"/>
      <c r="C7" s="9"/>
      <c r="D7" s="10" t="s">
        <v>28</v>
      </c>
      <c r="E7" s="11"/>
      <c r="F7" s="11"/>
      <c r="G7" s="11"/>
      <c r="H7" s="11"/>
      <c r="I7" s="11"/>
      <c r="J7" s="11"/>
      <c r="K7" s="11"/>
      <c r="L7" s="4">
        <v>10.8</v>
      </c>
      <c r="M7" s="8">
        <v>1</v>
      </c>
      <c r="N7" s="4">
        <f t="shared" si="1"/>
        <v>10.8</v>
      </c>
      <c r="O7" s="6" t="str">
        <f t="shared" si="2"/>
        <v>ESP8266</v>
      </c>
    </row>
    <row r="8" spans="1:17" ht="26.25" customHeight="1">
      <c r="A8" s="9" t="s">
        <v>25</v>
      </c>
      <c r="B8" s="9"/>
      <c r="C8" s="9"/>
      <c r="D8" s="10" t="s">
        <v>29</v>
      </c>
      <c r="E8" s="11"/>
      <c r="F8" s="11"/>
      <c r="G8" s="11"/>
      <c r="H8" s="11"/>
      <c r="I8" s="11"/>
      <c r="J8" s="11"/>
      <c r="K8" s="11"/>
      <c r="L8" s="4">
        <v>12.9</v>
      </c>
      <c r="M8" s="8">
        <v>1</v>
      </c>
      <c r="N8" s="4">
        <f t="shared" si="1"/>
        <v>12.9</v>
      </c>
      <c r="O8" s="6" t="str">
        <f t="shared" si="2"/>
        <v>锡丝</v>
      </c>
    </row>
    <row r="9" spans="1:17" ht="24.75" customHeight="1">
      <c r="A9" s="14" t="s">
        <v>13</v>
      </c>
      <c r="B9" s="14"/>
      <c r="C9" s="14"/>
      <c r="D9" s="16" t="s">
        <v>21</v>
      </c>
      <c r="E9" s="17"/>
      <c r="F9" s="17"/>
      <c r="G9" s="17"/>
      <c r="H9" s="17"/>
      <c r="I9" s="17"/>
      <c r="J9" s="17"/>
      <c r="K9" s="17"/>
      <c r="L9" s="4">
        <v>4.9000000000000004</v>
      </c>
      <c r="M9" s="4">
        <v>1</v>
      </c>
      <c r="N9" s="4">
        <v>4.9000000000000004</v>
      </c>
      <c r="O9" s="4" t="str">
        <f t="shared" ref="O9" si="3">A9</f>
        <v>排母</v>
      </c>
    </row>
    <row r="10" spans="1:17" ht="24.75" customHeight="1">
      <c r="A10" s="14" t="s">
        <v>14</v>
      </c>
      <c r="B10" s="14"/>
      <c r="C10" s="14"/>
      <c r="D10" s="12" t="s">
        <v>15</v>
      </c>
      <c r="E10" s="13"/>
      <c r="F10" s="13"/>
      <c r="G10" s="13"/>
      <c r="H10" s="13"/>
      <c r="I10" s="13"/>
      <c r="J10" s="13"/>
      <c r="K10" s="13"/>
      <c r="L10" s="4">
        <v>3.52</v>
      </c>
      <c r="M10" s="4">
        <v>1</v>
      </c>
      <c r="N10" s="4">
        <v>3.52</v>
      </c>
      <c r="O10" s="4" t="s">
        <v>16</v>
      </c>
      <c r="P10" s="4"/>
      <c r="Q10" s="4"/>
    </row>
    <row r="11" spans="1:17" ht="24.75" customHeight="1">
      <c r="A11" s="14" t="s">
        <v>17</v>
      </c>
      <c r="B11" s="14"/>
      <c r="C11" s="14"/>
      <c r="D11" s="12" t="s">
        <v>18</v>
      </c>
      <c r="E11" s="13"/>
      <c r="F11" s="13"/>
      <c r="G11" s="13"/>
      <c r="H11" s="13"/>
      <c r="I11" s="13"/>
      <c r="J11" s="13"/>
      <c r="K11" s="13"/>
      <c r="L11" s="4">
        <v>1.35</v>
      </c>
      <c r="M11" s="4">
        <v>1</v>
      </c>
      <c r="N11" s="4">
        <v>1.35</v>
      </c>
      <c r="O11" s="4" t="s">
        <v>17</v>
      </c>
      <c r="P11" s="4"/>
      <c r="Q11" s="4"/>
    </row>
    <row r="12" spans="1:17" ht="23.45" customHeight="1">
      <c r="A12" s="14" t="s">
        <v>11</v>
      </c>
      <c r="B12" s="14"/>
      <c r="C12" s="14"/>
      <c r="D12" s="12" t="s">
        <v>12</v>
      </c>
      <c r="E12" s="13"/>
      <c r="F12" s="13"/>
      <c r="G12" s="13"/>
      <c r="H12" s="13"/>
      <c r="I12" s="13"/>
      <c r="J12" s="13"/>
      <c r="K12" s="13"/>
      <c r="L12" s="4">
        <v>3.8</v>
      </c>
      <c r="M12" s="4">
        <v>1</v>
      </c>
      <c r="N12" s="4">
        <v>3.8</v>
      </c>
      <c r="O12" s="4" t="s">
        <v>11</v>
      </c>
    </row>
    <row r="13" spans="1:17" ht="24.75" customHeight="1">
      <c r="A13" s="14" t="s">
        <v>9</v>
      </c>
      <c r="B13" s="14"/>
      <c r="C13" s="14"/>
      <c r="D13" s="12" t="s">
        <v>10</v>
      </c>
      <c r="E13" s="13"/>
      <c r="F13" s="13"/>
      <c r="G13" s="13"/>
      <c r="H13" s="13"/>
      <c r="I13" s="13"/>
      <c r="J13" s="13"/>
      <c r="K13" s="13"/>
      <c r="L13" s="4">
        <v>20</v>
      </c>
      <c r="M13" s="4">
        <v>1</v>
      </c>
      <c r="N13" s="4">
        <v>20</v>
      </c>
      <c r="O13" s="4" t="s">
        <v>9</v>
      </c>
    </row>
    <row r="14" spans="1:17" ht="23.25" customHeight="1">
      <c r="A14" s="7" t="s">
        <v>6</v>
      </c>
      <c r="B14" s="15">
        <f>SUM(N3:N13)</f>
        <v>113.6</v>
      </c>
      <c r="C14" s="1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7" spans="8:8" ht="14.1" customHeight="1">
      <c r="H17" s="5"/>
    </row>
  </sheetData>
  <mergeCells count="26">
    <mergeCell ref="A4:C4"/>
    <mergeCell ref="D4:K4"/>
    <mergeCell ref="A8:C8"/>
    <mergeCell ref="D8:K8"/>
    <mergeCell ref="A7:C7"/>
    <mergeCell ref="D7:K7"/>
    <mergeCell ref="A6:C6"/>
    <mergeCell ref="D6:K6"/>
    <mergeCell ref="A1:O1"/>
    <mergeCell ref="D2:K2"/>
    <mergeCell ref="A2:C2"/>
    <mergeCell ref="A3:C3"/>
    <mergeCell ref="D3:K3"/>
    <mergeCell ref="A5:C5"/>
    <mergeCell ref="D5:K5"/>
    <mergeCell ref="D11:K11"/>
    <mergeCell ref="A12:C12"/>
    <mergeCell ref="B14:C14"/>
    <mergeCell ref="A13:C13"/>
    <mergeCell ref="D13:K13"/>
    <mergeCell ref="D12:K12"/>
    <mergeCell ref="A10:C10"/>
    <mergeCell ref="D10:K10"/>
    <mergeCell ref="A11:C11"/>
    <mergeCell ref="A9:C9"/>
    <mergeCell ref="D9:K9"/>
  </mergeCells>
  <phoneticPr fontId="8" type="noConversion"/>
  <hyperlinks>
    <hyperlink ref="D10" r:id="rId1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11" r:id="rId2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4" r:id="rId3" display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xr:uid="{D05E352A-32E0-454B-8E45-6492463C5C92}"/>
    <hyperlink ref="D9" r:id="rId4" display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xr:uid="{EB6043E5-4B32-4D6C-BC9E-20890599B6BD}"/>
    <hyperlink ref="D12" r:id="rId5" xr:uid="{802C48E3-88AC-44C6-A929-1907B01DE4F5}"/>
    <hyperlink ref="D6" r:id="rId6" display="https://detail.tmall.com/item.htm?ali_refid=a3_430582_1006%3A2718257268%3AH%3A%2FRczfX8TwM9xsv5jxkSIcn2trDRs9%2Fqc%3A404267a3359218a472852e95a6529ada&amp;ali_trackid=282_404267a3359218a472852e95a6529ada&amp;id=1010583867689&amp;mi_id=0000X694rUQtD3Xy8f3yfr8Q6LSJOmVZMFuibaL9Dy2Q8o8&amp;mm_sceneid=1_0_9870014449_0&amp;priceTId=2147824517763376309934851e141f&amp;skuId=6179041035827&amp;spm=a21n57.1.hoverItem.1&amp;utparam=%7B%22aplus_abtest%22%3A%229074b2e997defda17bdd1a152348c5cf%22%7D&amp;xxc=ad_ztc" xr:uid="{616B8426-0F98-431E-9E32-423FB4B6E1BF}"/>
    <hyperlink ref="D5" r:id="rId7" display="https://item.taobao.com/item.htm?abbucket=10&amp;id=876901136355&amp;mi_id=0000FDgd0WdPrjUeCCfDoGLoRF8m55kBOyE0WpvXEol5Qp0&amp;ns=1&amp;priceTId=2147841417763376779481268e10fe&amp;skuId=5738164101768&amp;spm=a21n57.1.hoverItem.5&amp;utparam=%7B%22aplus_abtest%22%3A%2287a4b8e6deea8cf94dec96c6c8bfe7a9%22%7D&amp;xxc=taobaoSearch" xr:uid="{9FA6341D-8A5C-4FA3-B527-3C8767E11BBC}"/>
    <hyperlink ref="D7" r:id="rId8" display="https://item.taobao.com/item.htm?ali_refid=a3_430582_1006%3A1150010022%3AH%3AUomXtRFN%2BGwduV5sjk00JA%3D%3D%3Ac3b7890c75bddcfc25aa876ba3dbd9ec&amp;ali_trackid=282_c3b7890c75bddcfc25aa876ba3dbd9ec&amp;id=543468772547&amp;mi_id=0000_-GgDSW6L4_LTPP9kotaEjdCAUDbUcP6pv4-3CsDA-c&amp;mm_sceneid=1_0_121832529_0&amp;priceTId=215044f317763377959494835e0c8e&amp;skuId=4994815692417&amp;spm=a21n57.1.hoverItem.1&amp;utparam=%7B%22aplus_abtest%22%3A%223670974982c1b99e0918d9034884d0b7%22%7D&amp;xxc=ad_ztc" xr:uid="{81DC28FE-C0EA-4A59-A8A2-787AEBEDAE0F}"/>
    <hyperlink ref="D8" r:id="rId9" display="https://detail.tmall.com/item.htm?abbucket=10&amp;id=812251844151&amp;mi_id=0000_AfzIrfzpvJKPRxRw7qLIa9gjqTRvTVz2SZPz-vep1U&amp;ns=1&amp;priceTId=215046ae17763378785755347e140d&amp;skuId=5591088640273&amp;spm=a21n57.1.hoverItem.2&amp;utparam=%7B%22aplus_abtest%22%3A%226495947a3426c7e9cd836d33faacdb1e%22%7D&amp;xxc=taobaoSearch" xr:uid="{0711B29D-DB81-4EEB-95EB-E94BD678D64D}"/>
  </hyperlinks>
  <pageMargins left="0.75" right="0.75" top="1" bottom="1" header="0.51180555555555596" footer="0.51180555555555596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2026-04-16T13:34:42Z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