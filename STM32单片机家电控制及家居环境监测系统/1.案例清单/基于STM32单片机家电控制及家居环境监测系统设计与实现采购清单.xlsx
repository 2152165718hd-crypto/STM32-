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外包\STM32单片机家电控制及家居环境监测系统\1.清单\"/>
    </mc:Choice>
  </mc:AlternateContent>
  <xr:revisionPtr revIDLastSave="0" documentId="13_ncr:1_{2B426065-A938-4D35-A170-BAC0822F02E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" i="1" l="1"/>
  <c r="N18" i="1"/>
  <c r="N4" i="1"/>
  <c r="N5" i="1"/>
  <c r="N6" i="1"/>
  <c r="N7" i="1"/>
  <c r="N8" i="1"/>
  <c r="N9" i="1"/>
  <c r="N10" i="1"/>
  <c r="N11" i="1"/>
  <c r="N12" i="1"/>
  <c r="N14" i="1"/>
  <c r="N15" i="1"/>
  <c r="N16" i="1"/>
  <c r="N17" i="1"/>
  <c r="N19" i="1"/>
  <c r="N3" i="1"/>
</calcChain>
</file>

<file path=xl/sharedStrings.xml><?xml version="1.0" encoding="utf-8"?>
<sst xmlns="http://schemas.openxmlformats.org/spreadsheetml/2006/main" count="59" uniqueCount="48">
  <si>
    <t>型号</t>
  </si>
  <si>
    <t>链接</t>
  </si>
  <si>
    <t>单价</t>
  </si>
  <si>
    <t>数量</t>
  </si>
  <si>
    <t>单价总价</t>
  </si>
  <si>
    <t>备注</t>
  </si>
  <si>
    <t>总计</t>
  </si>
  <si>
    <t>PCB打板</t>
  </si>
  <si>
    <t>嘉立创PCB打板</t>
  </si>
  <si>
    <t>PCB</t>
  </si>
  <si>
    <t>STM32F103C8T6开发板</t>
  </si>
  <si>
    <t>DS18B20温度传感器</t>
  </si>
  <si>
    <t>光敏电阻</t>
  </si>
  <si>
    <t>雨滴传感器模块</t>
  </si>
  <si>
    <t>0.96寸OLED</t>
  </si>
  <si>
    <t>声音传感器模块</t>
  </si>
  <si>
    <t>ESP8266-01S</t>
  </si>
  <si>
    <t>继电器模块</t>
  </si>
  <si>
    <t>SG90舵机</t>
  </si>
  <si>
    <t>轻触按键</t>
  </si>
  <si>
    <t>LED</t>
  </si>
  <si>
    <t>Tb6612电机驱动板</t>
  </si>
  <si>
    <t>直流减速电机</t>
  </si>
  <si>
    <t>https://item.taobao.com/item.htm?id=909381113639&amp;mi_id=0000ZKm7fgI2m8Iyrg0NnA28avxt208xvfwr0ijwy2qz_nQ&amp;spm=tbpc.boughtlist.suborder_itemtitle.1.23042e8dFCK1Wy&amp;skuId=5769812572738</t>
  </si>
  <si>
    <t>tb6612电机驱动板</t>
  </si>
  <si>
    <t>光敏电阻模块</t>
  </si>
  <si>
    <t>6路继电器模块</t>
  </si>
  <si>
    <t>基于STM32单片机家电控制及家居环境监测系统设计与实现采购清单</t>
  </si>
  <si>
    <t>LED灯</t>
  </si>
  <si>
    <t>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</t>
  </si>
  <si>
    <t>限流电阻</t>
  </si>
  <si>
    <t>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</t>
  </si>
  <si>
    <t>排母</t>
  </si>
  <si>
    <t>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</t>
  </si>
  <si>
    <t>CMSIS DAP/DAPLink仿真器</t>
  </si>
  <si>
    <t>锡丝</t>
  </si>
  <si>
    <t>https://detail.tmall.com/item.htm?ali_refid=a3_420434_1006%3A1202830031%3AH%3AAuvmOo2zOt9rUoa3v5RDSw%3D%3D%3A0a6a7f3478e3bb075d45530a2d09a2d9&amp;ali_trackid=282_0a6a7f3478e3bb075d45530a2d09a2d9&amp;id=599195503890&amp;mi_id=0000iOfhWZ0ELWX7eFeh_lNzJdVoR4zf2wVeeO-bD-MptTo&amp;mm_sceneid=1_0_343370108_0&amp;priceTId=213e034c17758981729266424e10dd&amp;skuId=6025374536448&amp;spm=a21n57.1.hoverItem.3&amp;utparam=%7B%22aplus_abtest%22%3A%22d1013532278f08b9b718a83c919787c0%22%7D&amp;xxc=ad_ztc</t>
  </si>
  <si>
    <t>https://detail.tmall.com/item.htm?abbucket=10&amp;id=863604223100&amp;mi_id=0000iCNn3cxwSLzm6X4ovXKH5L63i60e-fWvUhbAKWGYR50&amp;ns=1&amp;priceTId=213e034c17758982317233376e10dd&amp;skuId=5694374352054&amp;spm=a21n57.1.hoverItem.5&amp;utparam=%7B%22aplus_abtest%22%3A%22a7530a8b6d50aaa080c98268dc979164%22%7D&amp;xxc=taobaoSearch</t>
  </si>
  <si>
    <t>https://detail.tmall.com/item.htm?ali_refid=a3_430582_1006%3A1109983619%3AH%3ApyON%2B4AOdjlAJAKW%2BsD4vg%3D%3D%3A15ba1312daf8ccb1824d6acdd3cf30fd&amp;ali_trackid=318_15ba1312daf8ccb1824d6acdd3cf30fd&amp;id=41272469644&amp;mi_id=0000PI9imKTDn1lwneiISNwm2tCS_qfnn2dpT9yLI5l-xXI&amp;mm_sceneid=0_0_98938874_0&amp;priceTId=213e034c17758982621515993e10dd&amp;spm=a21n57.1.hoverItem.1&amp;utparam=%7B%22aplus_abtest%22%3A%225db0a400bc3c00853350093d434002ad%22%7D&amp;xxc=ad_ztc</t>
  </si>
  <si>
    <t>https://item.taobao.com/item.htm?ali_refid=a3_430582_1006%3A1121464922%3AH%3AcoJD1DlUFrstmZvmLqNQvn2trDRs9%2Fqc%3Ac068417667b3b06ba8e69319ef7c803f&amp;ali_trackid=295_c068417667b3b06ba8e69319ef7c803f&amp;id=949308532275&amp;mi_id=00007butFlWbuBVv0zNKTf8WVYzSH0BDulWNiqgv7noeoxI&amp;mm_sceneid=2_0_111680763_0&amp;priceTId=213e034c17758982929398588e10dd&amp;spm=a21n57.1.item.1&amp;utparam=%7B%22aplus_abtest%22%3A%228d45ed2e2a8bf05c6035c5908edc94a8%22%7D&amp;xxc=ad_ztc</t>
  </si>
  <si>
    <t>https://item.taobao.com/item.htm?abbucket=10&amp;id=522576344188&amp;mi_id=0000adVQ8rifA-CZadxFHLrz6b2PbZQT6ds6yHygZduRSZc&amp;ns=1&amp;priceTId=213e034c17758983232133118e10dd&amp;spm=a21n57.1.hoverItem.2&amp;utparam=%7B%22aplus_abtest%22%3A%2268b7eed4bd4b0fd224baac98a4cb55c4%22%7D&amp;xxc=taobaoSearch</t>
  </si>
  <si>
    <t>https://item.taobao.com/item.htm?abbucket=10&amp;id=989578787883&amp;mi_id=0000cmxU1v8GiiT-MTmIicFPgMtsqeXxadB4wtnXYs3psag&amp;ns=1&amp;priceTId=213e034c17758984403494619e10dd&amp;spm=a21n57.1.hoverItem.3&amp;utparam=%7B%22aplus_abtest%22%3A%22c72a77c20d205a2bb55d2cc679b0c0e8%22%7D&amp;xxc=taobaoSearch</t>
  </si>
  <si>
    <t>https://item.taobao.com/item.htm?abbucket=10&amp;id=562145367495&amp;mi_id=00004Vu1wO8wTf-ynDFOaRALU33RlHhn0kB-fsqTin7zLZs&amp;ns=1&amp;priceTId=213e034c17758984611346320e10dd&amp;skuId=4843968313710&amp;spm=a21n57.1.hoverItem.2&amp;utparam=%7B%22aplus_abtest%22%3A%2236e95f114bb1635e4764d7d27eef27b1%22%7D&amp;xxc=taobaoSearch</t>
  </si>
  <si>
    <t>https://item.taobao.com/item.htm?abbucket=10&amp;id=544369472713&amp;mi_id=0000QUhmHmkf2-UImbPiYAQlRglVqzFTc7zGdMbPkyYxg3Y&amp;ns=1&amp;priceTId=213e034c17758984955141144e10dd&amp;spm=a21n57.1.hoverItem.3&amp;utparam=%7B%22aplus_abtest%22%3A%221165642570e3bf1b3452edb0303909fe%22%7D&amp;xxc=taobaoSearch</t>
  </si>
  <si>
    <t>https://item.taobao.com/item.htm?ali_refid=a3_430582_1006%3A1121464922%3AH%3ATLLgYJJF9Cjg3NH10XptEnahdFvQYGOd%3Acf58c171389a8aa1b063652862d3bfd0&amp;ali_trackid=318_cf58c171389a8aa1b063652862d3bfd0&amp;id=549692985984&amp;mi_id=0000SF0znSKwYhHdCjB0ujf7h8UTlO_g4LRHvAl9T6DZwKA&amp;mm_sceneid=0_0_111680763_0&amp;priceTId=213e034c17758985210113622e10dd&amp;skuId=5006943327907&amp;spm=a21n57.1.hoverItem.1&amp;utparam=%7B%22aplus_abtest%22%3A%22b2c1c68c906268072d981a7f14b07eaa%22%7D&amp;xxc=ad_ztc</t>
  </si>
  <si>
    <t>https://detail.tmall.com/item.htm?abbucket=10&amp;id=639354618453&amp;mi_id=0000KWZjsQiqum3HlCL62NXFS5eOJzRFSaZtUk-kfufSZBE&amp;ns=1&amp;priceTId=213e034c17758985544336987e10dd&amp;skuId=4587478761838&amp;spm=a21n57.1.hoverItem.30&amp;utparam=%7B%22aplus_abtest%22%3A%22f69440349c69a22ddcd2dfb8e1cd3f8d%22%7D&amp;xxc=taobaoSearch</t>
  </si>
  <si>
    <t>https://detail.tmall.com/item.htm?ali_refid=a3_430582_1006%3A1303560141%3AN%3APWMnUYdP5%2Fe%2FhVGXT5DfElZVWVucNkUD%3A2b25fe8552a8f8468260bc273ef05928&amp;ali_trackid=1_2b25fe8552a8f8468260bc273ef05928&amp;id=678498890304&amp;mi_id=0000cMluIPO8xvZQPlXTNzUzxSOHHbKL_O04eqTbFdzvFP8&amp;mm_sceneid=1_0_727720075_0&amp;priceTId=213e034c17758986137223980e10dd&amp;skuId=5719859296396&amp;spm=a21n57.1.item.1&amp;utparam=%7B%22aplus_abtest%22%3A%2264169ac1afd9545e042c0bc7104d69c8%22%7D&amp;xxc=ad_ztc</t>
  </si>
  <si>
    <t>https://item.taobao.com/item.htm?abbucket=10&amp;id=638943394753&amp;mi_id=0000BGjlHn6nJoZLUZNUosord58OGaqi1dWXry1GDfGFa2Q&amp;ns=1&amp;priceTId=213e034c17758986386806395e10dd&amp;skuId=6128889758613&amp;spm=a21n57.1.hoverItem.4&amp;utparam=%7B%22aplus_abtest%22%3A%224ef5e6a8f6eae577f3572d3c5a298ffd%22%7D&amp;xxc=taobao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</si>
</sst>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name val="宋体"/>
    </font>
    <font>
      <b/>
      <sz val="16"/>
      <name val="serif"/>
    </font>
    <font>
      <b/>
      <sz val="11"/>
      <color rgb="FF000000"/>
      <name val="serif"/>
      <family val="2"/>
    </font>
    <font>
      <b/>
      <sz val="11"/>
      <name val="serif"/>
    </font>
    <font>
      <sz val="10"/>
      <color rgb="FF000000"/>
      <name val="serif"/>
      <family val="2"/>
    </font>
    <font>
      <sz val="10"/>
      <name val="serif"/>
    </font>
    <font>
      <u/>
      <sz val="11"/>
      <color indexed="4"/>
      <name val="宋体"/>
      <family val="3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  <font>
      <b/>
      <sz val="16"/>
      <name val="微软雅黑"/>
      <family val="2"/>
      <charset val="134"/>
    </font>
    <font>
      <b/>
      <sz val="10"/>
      <name val="serif"/>
    </font>
    <font>
      <sz val="10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">
    <tableStyle name="TableStylePreset3_Accent1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abbucket=10&amp;id=522576344188&amp;mi_id=0000adVQ8rifA-CZadxFHLrz6b2PbZQT6ds6yHygZduRSZc&amp;ns=1&amp;priceTId=213e034c17758983232133118e10dd&amp;spm=a21n57.1.hoverItem.2&amp;utparam=%7B%22aplus_abtest%22%3A%2268b7eed4bd4b0fd224baac98a4cb55c4%22%7D&amp;xxc=taobaoSearch" TargetMode="External"/><Relationship Id="rId13" Type="http://schemas.openxmlformats.org/officeDocument/2006/relationships/hyperlink" Target="https://detail.tmall.com/item.htm?abbucket=10&amp;id=639354618453&amp;mi_id=0000KWZjsQiqum3HlCL62NXFS5eOJzRFSaZtUk-kfufSZBE&amp;ns=1&amp;priceTId=213e034c17758985544336987e10dd&amp;skuId=4587478761838&amp;spm=a21n57.1.hoverItem.30&amp;utparam=%7B%22aplus_abtest%22%3A%22f69440349c69a22ddcd2dfb8e1cd3f8d%22%7D&amp;xxc=taobaoSearch" TargetMode="External"/><Relationship Id="rId3" Type="http://schemas.openxmlformats.org/officeDocument/2006/relationships/hyperlink" Target="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" TargetMode="External"/><Relationship Id="rId7" Type="http://schemas.openxmlformats.org/officeDocument/2006/relationships/hyperlink" Target="https://item.taobao.com/item.htm?ali_refid=a3_430582_1006%3A1121464922%3AH%3AcoJD1DlUFrstmZvmLqNQvn2trDRs9%2Fqc%3Ac068417667b3b06ba8e69319ef7c803f&amp;ali_trackid=295_c068417667b3b06ba8e69319ef7c803f&amp;id=949308532275&amp;mi_id=00007butFlWbuBVv0zNKTf8WVYzSH0BDulWNiqgv7noeoxI&amp;mm_sceneid=2_0_111680763_0&amp;priceTId=213e034c17758982929398588e10dd&amp;spm=a21n57.1.item.1&amp;utparam=%7B%22aplus_abtest%22%3A%228d45ed2e2a8bf05c6035c5908edc94a8%22%7D&amp;xxc=ad_ztc" TargetMode="External"/><Relationship Id="rId12" Type="http://schemas.openxmlformats.org/officeDocument/2006/relationships/hyperlink" Target="https://item.taobao.com/item.htm?ali_refid=a3_430582_1006%3A1121464922%3AH%3ATLLgYJJF9Cjg3NH10XptEnahdFvQYGOd%3Acf58c171389a8aa1b063652862d3bfd0&amp;ali_trackid=318_cf58c171389a8aa1b063652862d3bfd0&amp;id=549692985984&amp;mi_id=0000SF0znSKwYhHdCjB0ujf7h8UTlO_g4LRHvAl9T6DZwKA&amp;mm_sceneid=0_0_111680763_0&amp;priceTId=213e034c17758985210113622e10dd&amp;skuId=5006943327907&amp;spm=a21n57.1.hoverItem.1&amp;utparam=%7B%22aplus_abtest%22%3A%22b2c1c68c906268072d981a7f14b07eaa%22%7D&amp;xxc=ad_ztc" TargetMode="External"/><Relationship Id="rId2" Type="http://schemas.openxmlformats.org/officeDocument/2006/relationships/hyperlink" Target="https://item.taobao.com/item.htm?id=909381113639&amp;mi_id=0000ZKm7fgI2m8Iyrg0NnA28avxt208xvfwr0ijwy2qz_nQ&amp;spm=tbpc.boughtlist.suborder_itemtitle.1.23042e8dFCK1Wy&amp;skuId=5769812572738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TargetMode="External"/><Relationship Id="rId6" Type="http://schemas.openxmlformats.org/officeDocument/2006/relationships/hyperlink" Target="https://detail.tmall.com/item.htm?ali_refid=a3_430582_1006%3A1109983619%3AH%3ApyON%2B4AOdjlAJAKW%2BsD4vg%3D%3D%3A15ba1312daf8ccb1824d6acdd3cf30fd&amp;ali_trackid=318_15ba1312daf8ccb1824d6acdd3cf30fd&amp;id=41272469644&amp;mi_id=0000PI9imKTDn1lwneiISNwm2tCS_qfnn2dpT9yLI5l-xXI&amp;mm_sceneid=0_0_98938874_0&amp;priceTId=213e034c17758982621515993e10dd&amp;spm=a21n57.1.hoverItem.1&amp;utparam=%7B%22aplus_abtest%22%3A%225db0a400bc3c00853350093d434002ad%22%7D&amp;xxc=ad_ztc" TargetMode="External"/><Relationship Id="rId11" Type="http://schemas.openxmlformats.org/officeDocument/2006/relationships/hyperlink" Target="https://item.taobao.com/item.htm?abbucket=10&amp;id=544369472713&amp;mi_id=0000QUhmHmkf2-UImbPiYAQlRglVqzFTc7zGdMbPkyYxg3Y&amp;ns=1&amp;priceTId=213e034c17758984955141144e10dd&amp;spm=a21n57.1.hoverItem.3&amp;utparam=%7B%22aplus_abtest%22%3A%221165642570e3bf1b3452edb0303909fe%22%7D&amp;xxc=taobaoSearch" TargetMode="External"/><Relationship Id="rId5" Type="http://schemas.openxmlformats.org/officeDocument/2006/relationships/hyperlink" Target="https://detail.tmall.com/item.htm?abbucket=10&amp;id=863604223100&amp;mi_id=0000iCNn3cxwSLzm6X4ovXKH5L63i60e-fWvUhbAKWGYR50&amp;ns=1&amp;priceTId=213e034c17758982317233376e10dd&amp;skuId=5694374352054&amp;spm=a21n57.1.hoverItem.5&amp;utparam=%7B%22aplus_abtest%22%3A%22a7530a8b6d50aaa080c98268dc979164%22%7D&amp;xxc=taobaoSearch" TargetMode="External"/><Relationship Id="rId15" Type="http://schemas.openxmlformats.org/officeDocument/2006/relationships/hyperlink" Target="https://item.taobao.com/item.htm?abbucket=10&amp;id=638943394753&amp;mi_id=0000BGjlHn6nJoZLUZNUosord58OGaqi1dWXry1GDfGFa2Q&amp;ns=1&amp;priceTId=213e034c17758986386806395e10dd&amp;skuId=6128889758613&amp;spm=a21n57.1.hoverItem.4&amp;utparam=%7B%22aplus_abtest%22%3A%224ef5e6a8f6eae577f3572d3c5a298ffd%22%7D&amp;xxc=taobaoSearch" TargetMode="External"/><Relationship Id="rId10" Type="http://schemas.openxmlformats.org/officeDocument/2006/relationships/hyperlink" Target="https://item.taobao.com/item.htm?abbucket=10&amp;id=562145367495&amp;mi_id=00004Vu1wO8wTf-ynDFOaRALU33RlHhn0kB-fsqTin7zLZs&amp;ns=1&amp;priceTId=213e034c17758984611346320e10dd&amp;skuId=4843968313710&amp;spm=a21n57.1.hoverItem.2&amp;utparam=%7B%22aplus_abtest%22%3A%2236e95f114bb1635e4764d7d27eef27b1%22%7D&amp;xxc=taobaoSearch" TargetMode="External"/><Relationship Id="rId4" Type="http://schemas.openxmlformats.org/officeDocument/2006/relationships/hyperlink" Target="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" TargetMode="External"/><Relationship Id="rId9" Type="http://schemas.openxmlformats.org/officeDocument/2006/relationships/hyperlink" Target="https://item.taobao.com/item.htm?abbucket=10&amp;id=989578787883&amp;mi_id=0000cmxU1v8GiiT-MTmIicFPgMtsqeXxadB4wtnXYs3psag&amp;ns=1&amp;priceTId=213e034c17758984403494619e10dd&amp;spm=a21n57.1.hoverItem.3&amp;utparam=%7B%22aplus_abtest%22%3A%22c72a77c20d205a2bb55d2cc679b0c0e8%22%7D&amp;xxc=taobaoSearch" TargetMode="External"/><Relationship Id="rId14" Type="http://schemas.openxmlformats.org/officeDocument/2006/relationships/hyperlink" Target="https://detail.tmall.com/item.htm?ali_refid=a3_430582_1006%3A1303560141%3AN%3APWMnUYdP5%2Fe%2FhVGXT5DfElZVWVucNkUD%3A2b25fe8552a8f8468260bc273ef05928&amp;ali_trackid=1_2b25fe8552a8f8468260bc273ef05928&amp;id=678498890304&amp;mi_id=0000cMluIPO8xvZQPlXTNzUzxSOHHbKL_O04eqTbFdzvFP8&amp;mm_sceneid=1_0_727720075_0&amp;priceTId=213e034c17758986137223980e10dd&amp;skuId=5719859296396&amp;spm=a21n57.1.item.1&amp;utparam=%7B%22aplus_abtest%22%3A%2264169ac1afd9545e042c0bc7104d69c8%22%7D&amp;xxc=ad_z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topLeftCell="A5" zoomScale="130" zoomScaleNormal="130" workbookViewId="0">
      <selection activeCell="N14" sqref="N14"/>
    </sheetView>
  </sheetViews>
  <sheetFormatPr defaultColWidth="10" defaultRowHeight="13.5"/>
  <cols>
    <col min="1" max="1" width="5.875" bestFit="1" customWidth="1"/>
    <col min="2" max="2" width="8.125" customWidth="1"/>
    <col min="3" max="3" width="6" customWidth="1"/>
    <col min="4" max="4" width="13.875" customWidth="1"/>
    <col min="5" max="5" width="14.125" customWidth="1"/>
    <col min="6" max="6" width="15.25" customWidth="1"/>
    <col min="7" max="7" width="14.75" customWidth="1"/>
    <col min="8" max="8" width="14.625" customWidth="1"/>
    <col min="9" max="9" width="14.5" customWidth="1"/>
    <col min="10" max="10" width="14.125" customWidth="1"/>
    <col min="11" max="11" width="18.25" customWidth="1"/>
    <col min="12" max="12" width="7.75" bestFit="1" customWidth="1"/>
    <col min="13" max="13" width="6.25" bestFit="1" customWidth="1"/>
    <col min="14" max="14" width="9.5" bestFit="1" customWidth="1"/>
    <col min="15" max="15" width="40.75" customWidth="1"/>
  </cols>
  <sheetData>
    <row r="1" spans="1:17" ht="20.25">
      <c r="A1" s="11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7" ht="27.75" customHeight="1">
      <c r="A2" s="13" t="s">
        <v>0</v>
      </c>
      <c r="B2" s="13"/>
      <c r="C2" s="13"/>
      <c r="D2" s="13" t="s">
        <v>1</v>
      </c>
      <c r="E2" s="13"/>
      <c r="F2" s="13"/>
      <c r="G2" s="13"/>
      <c r="H2" s="13"/>
      <c r="I2" s="13"/>
      <c r="J2" s="13"/>
      <c r="K2" s="13"/>
      <c r="L2" s="1" t="s">
        <v>2</v>
      </c>
      <c r="M2" s="2" t="s">
        <v>3</v>
      </c>
      <c r="N2" s="2" t="s">
        <v>4</v>
      </c>
      <c r="O2" s="2" t="s">
        <v>5</v>
      </c>
    </row>
    <row r="3" spans="1:17" ht="26.25" customHeight="1">
      <c r="A3" s="14" t="s">
        <v>10</v>
      </c>
      <c r="B3" s="14"/>
      <c r="C3" s="14"/>
      <c r="D3" s="15" t="s">
        <v>37</v>
      </c>
      <c r="E3" s="13"/>
      <c r="F3" s="13"/>
      <c r="G3" s="13"/>
      <c r="H3" s="13"/>
      <c r="I3" s="13"/>
      <c r="J3" s="13"/>
      <c r="K3" s="13"/>
      <c r="L3" s="4">
        <v>14.9</v>
      </c>
      <c r="M3" s="4">
        <v>1</v>
      </c>
      <c r="N3" s="4">
        <f>L3</f>
        <v>14.9</v>
      </c>
      <c r="O3" s="4" t="s">
        <v>10</v>
      </c>
      <c r="P3" s="4"/>
      <c r="Q3" s="4"/>
    </row>
    <row r="4" spans="1:17" ht="26.25" customHeight="1">
      <c r="A4" s="14" t="s">
        <v>11</v>
      </c>
      <c r="B4" s="14"/>
      <c r="C4" s="14"/>
      <c r="D4" s="15" t="s">
        <v>38</v>
      </c>
      <c r="E4" s="13"/>
      <c r="F4" s="13"/>
      <c r="G4" s="13"/>
      <c r="H4" s="13"/>
      <c r="I4" s="13"/>
      <c r="J4" s="13"/>
      <c r="K4" s="13"/>
      <c r="L4" s="4">
        <v>4.6399999999999997</v>
      </c>
      <c r="M4" s="4">
        <v>1</v>
      </c>
      <c r="N4" s="4">
        <f t="shared" ref="N4:N19" si="0">L4</f>
        <v>4.6399999999999997</v>
      </c>
      <c r="O4" s="4" t="s">
        <v>11</v>
      </c>
      <c r="P4" s="4"/>
      <c r="Q4" s="4"/>
    </row>
    <row r="5" spans="1:17" ht="23.25" customHeight="1">
      <c r="A5" s="14" t="s">
        <v>25</v>
      </c>
      <c r="B5" s="14"/>
      <c r="C5" s="14"/>
      <c r="D5" s="15" t="s">
        <v>39</v>
      </c>
      <c r="E5" s="13"/>
      <c r="F5" s="13"/>
      <c r="G5" s="13"/>
      <c r="H5" s="13"/>
      <c r="I5" s="13"/>
      <c r="J5" s="13"/>
      <c r="K5" s="13"/>
      <c r="L5" s="4">
        <v>6.5</v>
      </c>
      <c r="M5" s="3">
        <v>1</v>
      </c>
      <c r="N5" s="4">
        <f t="shared" si="0"/>
        <v>6.5</v>
      </c>
      <c r="O5" s="4" t="s">
        <v>12</v>
      </c>
      <c r="P5" s="4"/>
      <c r="Q5" s="4"/>
    </row>
    <row r="6" spans="1:17" ht="26.25" customHeight="1">
      <c r="A6" s="7" t="s">
        <v>13</v>
      </c>
      <c r="B6" s="7"/>
      <c r="C6" s="7"/>
      <c r="D6" s="15" t="s">
        <v>40</v>
      </c>
      <c r="E6" s="13"/>
      <c r="F6" s="13"/>
      <c r="G6" s="13"/>
      <c r="H6" s="13"/>
      <c r="I6" s="13"/>
      <c r="J6" s="13"/>
      <c r="K6" s="13"/>
      <c r="L6" s="4">
        <v>5.3</v>
      </c>
      <c r="M6" s="4">
        <v>1</v>
      </c>
      <c r="N6" s="4">
        <f t="shared" si="0"/>
        <v>5.3</v>
      </c>
      <c r="O6" s="4" t="s">
        <v>13</v>
      </c>
      <c r="P6" s="4"/>
      <c r="Q6" s="4"/>
    </row>
    <row r="7" spans="1:17" ht="24.75" customHeight="1">
      <c r="A7" s="7" t="s">
        <v>15</v>
      </c>
      <c r="B7" s="7"/>
      <c r="C7" s="7"/>
      <c r="D7" s="15" t="s">
        <v>41</v>
      </c>
      <c r="E7" s="13"/>
      <c r="F7" s="13"/>
      <c r="G7" s="13"/>
      <c r="H7" s="13"/>
      <c r="I7" s="13"/>
      <c r="J7" s="13"/>
      <c r="K7" s="13"/>
      <c r="L7" s="4">
        <v>3.45</v>
      </c>
      <c r="M7" s="4">
        <v>1</v>
      </c>
      <c r="N7" s="4">
        <f t="shared" si="0"/>
        <v>3.45</v>
      </c>
      <c r="O7" s="4" t="s">
        <v>15</v>
      </c>
      <c r="P7" s="4"/>
      <c r="Q7" s="4"/>
    </row>
    <row r="8" spans="1:17" ht="24.75" customHeight="1">
      <c r="A8" s="16" t="s">
        <v>14</v>
      </c>
      <c r="B8" s="7"/>
      <c r="C8" s="7"/>
      <c r="D8" s="15" t="s">
        <v>42</v>
      </c>
      <c r="E8" s="13"/>
      <c r="F8" s="13"/>
      <c r="G8" s="13"/>
      <c r="H8" s="13"/>
      <c r="I8" s="13"/>
      <c r="J8" s="13"/>
      <c r="K8" s="13"/>
      <c r="L8" s="4">
        <v>12.28</v>
      </c>
      <c r="M8" s="4">
        <v>1</v>
      </c>
      <c r="N8" s="4">
        <f t="shared" si="0"/>
        <v>12.28</v>
      </c>
      <c r="O8" s="4" t="s">
        <v>14</v>
      </c>
      <c r="P8" s="4"/>
      <c r="Q8" s="4"/>
    </row>
    <row r="9" spans="1:17" ht="24.75" customHeight="1">
      <c r="A9" s="7" t="s">
        <v>16</v>
      </c>
      <c r="B9" s="7"/>
      <c r="C9" s="7"/>
      <c r="D9" s="15" t="s">
        <v>43</v>
      </c>
      <c r="E9" s="13"/>
      <c r="F9" s="13"/>
      <c r="G9" s="13"/>
      <c r="H9" s="13"/>
      <c r="I9" s="13"/>
      <c r="J9" s="13"/>
      <c r="K9" s="13"/>
      <c r="L9" s="4">
        <v>11.9</v>
      </c>
      <c r="M9" s="4">
        <v>1</v>
      </c>
      <c r="N9" s="4">
        <f t="shared" si="0"/>
        <v>11.9</v>
      </c>
      <c r="O9" s="4" t="s">
        <v>16</v>
      </c>
      <c r="P9" s="4"/>
      <c r="Q9" s="4"/>
    </row>
    <row r="10" spans="1:17" ht="24.75" customHeight="1">
      <c r="A10" s="7" t="s">
        <v>17</v>
      </c>
      <c r="B10" s="7"/>
      <c r="C10" s="7"/>
      <c r="D10" s="15" t="s">
        <v>44</v>
      </c>
      <c r="E10" s="13"/>
      <c r="F10" s="13"/>
      <c r="G10" s="13"/>
      <c r="H10" s="13"/>
      <c r="I10" s="13"/>
      <c r="J10" s="13"/>
      <c r="K10" s="13"/>
      <c r="L10" s="4">
        <v>7.63</v>
      </c>
      <c r="M10" s="4">
        <v>1</v>
      </c>
      <c r="N10" s="4">
        <f t="shared" si="0"/>
        <v>7.63</v>
      </c>
      <c r="O10" s="4" t="s">
        <v>26</v>
      </c>
      <c r="P10" s="4"/>
      <c r="Q10" s="4"/>
    </row>
    <row r="11" spans="1:17" ht="24.75" customHeight="1">
      <c r="A11" s="7" t="s">
        <v>21</v>
      </c>
      <c r="B11" s="7"/>
      <c r="C11" s="7"/>
      <c r="D11" s="15" t="s">
        <v>45</v>
      </c>
      <c r="E11" s="13"/>
      <c r="F11" s="13"/>
      <c r="G11" s="13"/>
      <c r="H11" s="13"/>
      <c r="I11" s="13"/>
      <c r="J11" s="13"/>
      <c r="K11" s="13"/>
      <c r="L11" s="4">
        <v>11.8</v>
      </c>
      <c r="M11" s="4">
        <v>1</v>
      </c>
      <c r="N11" s="4">
        <f t="shared" si="0"/>
        <v>11.8</v>
      </c>
      <c r="O11" s="4" t="s">
        <v>24</v>
      </c>
      <c r="P11" s="4"/>
      <c r="Q11" s="4"/>
    </row>
    <row r="12" spans="1:17" ht="24.75" customHeight="1">
      <c r="A12" s="7" t="s">
        <v>18</v>
      </c>
      <c r="B12" s="7"/>
      <c r="C12" s="7"/>
      <c r="D12" s="15" t="s">
        <v>46</v>
      </c>
      <c r="E12" s="13"/>
      <c r="F12" s="13"/>
      <c r="G12" s="13"/>
      <c r="H12" s="13"/>
      <c r="I12" s="13"/>
      <c r="J12" s="13"/>
      <c r="K12" s="13"/>
      <c r="L12" s="4">
        <v>7</v>
      </c>
      <c r="M12" s="4">
        <v>1</v>
      </c>
      <c r="N12" s="4">
        <f t="shared" si="0"/>
        <v>7</v>
      </c>
      <c r="O12" s="4" t="s">
        <v>18</v>
      </c>
      <c r="P12" s="4"/>
      <c r="Q12" s="4"/>
    </row>
    <row r="13" spans="1:17" ht="24.75" customHeight="1">
      <c r="A13" s="7" t="s">
        <v>22</v>
      </c>
      <c r="B13" s="7"/>
      <c r="C13" s="7"/>
      <c r="D13" s="15" t="s">
        <v>47</v>
      </c>
      <c r="E13" s="13"/>
      <c r="F13" s="13"/>
      <c r="G13" s="13"/>
      <c r="H13" s="13"/>
      <c r="I13" s="13"/>
      <c r="J13" s="13"/>
      <c r="K13" s="13"/>
      <c r="L13" s="4">
        <v>9</v>
      </c>
      <c r="M13" s="4">
        <v>2</v>
      </c>
      <c r="N13" s="4">
        <v>18</v>
      </c>
      <c r="O13" s="4" t="s">
        <v>22</v>
      </c>
      <c r="P13" s="4"/>
      <c r="Q13" s="4"/>
    </row>
    <row r="14" spans="1:17" ht="24.75" customHeight="1">
      <c r="A14" s="7" t="s">
        <v>19</v>
      </c>
      <c r="B14" s="7"/>
      <c r="C14" s="7"/>
      <c r="D14" s="8" t="s">
        <v>23</v>
      </c>
      <c r="E14" s="9"/>
      <c r="F14" s="9"/>
      <c r="G14" s="9"/>
      <c r="H14" s="9"/>
      <c r="I14" s="9"/>
      <c r="J14" s="9"/>
      <c r="K14" s="9"/>
      <c r="L14" s="4">
        <v>3.8</v>
      </c>
      <c r="M14" s="4">
        <v>1</v>
      </c>
      <c r="N14" s="4">
        <f t="shared" si="0"/>
        <v>3.8</v>
      </c>
      <c r="O14" s="4" t="s">
        <v>19</v>
      </c>
      <c r="P14" s="4"/>
      <c r="Q14" s="4"/>
    </row>
    <row r="15" spans="1:17" ht="24.75" customHeight="1">
      <c r="A15" s="7" t="s">
        <v>28</v>
      </c>
      <c r="B15" s="7"/>
      <c r="C15" s="7"/>
      <c r="D15" s="8" t="s">
        <v>29</v>
      </c>
      <c r="E15" s="9"/>
      <c r="F15" s="9"/>
      <c r="G15" s="9"/>
      <c r="H15" s="9"/>
      <c r="I15" s="9"/>
      <c r="J15" s="9"/>
      <c r="K15" s="9"/>
      <c r="L15" s="4">
        <v>3.94</v>
      </c>
      <c r="M15" s="4">
        <v>1</v>
      </c>
      <c r="N15" s="4">
        <f t="shared" si="0"/>
        <v>3.94</v>
      </c>
      <c r="O15" s="4" t="s">
        <v>20</v>
      </c>
      <c r="P15" s="4"/>
      <c r="Q15" s="4"/>
    </row>
    <row r="16" spans="1:17" ht="24.75" customHeight="1">
      <c r="A16" s="7" t="s">
        <v>30</v>
      </c>
      <c r="B16" s="7"/>
      <c r="C16" s="7"/>
      <c r="D16" s="8" t="s">
        <v>31</v>
      </c>
      <c r="E16" s="9"/>
      <c r="F16" s="9"/>
      <c r="G16" s="9"/>
      <c r="H16" s="9"/>
      <c r="I16" s="9"/>
      <c r="J16" s="9"/>
      <c r="K16" s="9"/>
      <c r="L16" s="4">
        <v>3.8</v>
      </c>
      <c r="M16" s="4">
        <v>1</v>
      </c>
      <c r="N16" s="4">
        <f t="shared" si="0"/>
        <v>3.8</v>
      </c>
      <c r="O16" s="4" t="s">
        <v>30</v>
      </c>
      <c r="P16" s="4"/>
      <c r="Q16" s="4"/>
    </row>
    <row r="17" spans="1:17" ht="24.75" customHeight="1">
      <c r="A17" s="7" t="s">
        <v>32</v>
      </c>
      <c r="B17" s="7"/>
      <c r="C17" s="7"/>
      <c r="D17" s="8" t="s">
        <v>33</v>
      </c>
      <c r="E17" s="9"/>
      <c r="F17" s="9"/>
      <c r="G17" s="9"/>
      <c r="H17" s="9"/>
      <c r="I17" s="9"/>
      <c r="J17" s="9"/>
      <c r="K17" s="9"/>
      <c r="L17" s="4">
        <v>4.4000000000000004</v>
      </c>
      <c r="M17" s="4">
        <v>1</v>
      </c>
      <c r="N17" s="4">
        <f t="shared" si="0"/>
        <v>4.4000000000000004</v>
      </c>
      <c r="O17" s="4" t="s">
        <v>32</v>
      </c>
      <c r="P17" s="4"/>
      <c r="Q17" s="4"/>
    </row>
    <row r="18" spans="1:17" ht="24.75" customHeight="1">
      <c r="A18" s="7" t="s">
        <v>35</v>
      </c>
      <c r="B18" s="7"/>
      <c r="C18" s="7"/>
      <c r="D18" s="8" t="s">
        <v>36</v>
      </c>
      <c r="E18" s="8"/>
      <c r="F18" s="8"/>
      <c r="G18" s="8"/>
      <c r="H18" s="8"/>
      <c r="I18" s="8"/>
      <c r="J18" s="8"/>
      <c r="K18" s="8"/>
      <c r="L18" s="4">
        <v>12.9</v>
      </c>
      <c r="M18" s="4">
        <v>1</v>
      </c>
      <c r="N18" s="4">
        <f t="shared" si="0"/>
        <v>12.9</v>
      </c>
      <c r="O18" s="4" t="s">
        <v>34</v>
      </c>
    </row>
    <row r="19" spans="1:17" ht="24.75" customHeight="1">
      <c r="A19" s="7" t="s">
        <v>9</v>
      </c>
      <c r="B19" s="7"/>
      <c r="C19" s="7"/>
      <c r="D19" s="8" t="s">
        <v>8</v>
      </c>
      <c r="E19" s="9"/>
      <c r="F19" s="9"/>
      <c r="G19" s="9"/>
      <c r="H19" s="9"/>
      <c r="I19" s="9"/>
      <c r="J19" s="9"/>
      <c r="K19" s="9"/>
      <c r="L19" s="4">
        <v>20</v>
      </c>
      <c r="M19" s="4">
        <v>1</v>
      </c>
      <c r="N19" s="4">
        <f t="shared" si="0"/>
        <v>20</v>
      </c>
      <c r="O19" s="4" t="s">
        <v>7</v>
      </c>
    </row>
    <row r="20" spans="1:17" ht="23.25" customHeight="1">
      <c r="A20" s="6" t="s">
        <v>6</v>
      </c>
      <c r="B20" s="10">
        <f>SUM(N3:N19)</f>
        <v>152.23999999999998</v>
      </c>
      <c r="C20" s="10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3" spans="1:17" ht="14.1" customHeight="1">
      <c r="H23" s="5"/>
    </row>
  </sheetData>
  <mergeCells count="38">
    <mergeCell ref="A4:C4"/>
    <mergeCell ref="D4:K4"/>
    <mergeCell ref="A5:C5"/>
    <mergeCell ref="D5:K5"/>
    <mergeCell ref="A13:C13"/>
    <mergeCell ref="D13:K13"/>
    <mergeCell ref="A6:C6"/>
    <mergeCell ref="D7:K7"/>
    <mergeCell ref="D6:K6"/>
    <mergeCell ref="A8:C8"/>
    <mergeCell ref="D8:K8"/>
    <mergeCell ref="A7:C7"/>
    <mergeCell ref="A1:O1"/>
    <mergeCell ref="D2:K2"/>
    <mergeCell ref="A2:C2"/>
    <mergeCell ref="A3:C3"/>
    <mergeCell ref="D3:K3"/>
    <mergeCell ref="D12:K12"/>
    <mergeCell ref="A12:C12"/>
    <mergeCell ref="A9:C9"/>
    <mergeCell ref="D9:K9"/>
    <mergeCell ref="A11:C11"/>
    <mergeCell ref="D11:K11"/>
    <mergeCell ref="A10:C10"/>
    <mergeCell ref="D10:K10"/>
    <mergeCell ref="A14:C14"/>
    <mergeCell ref="D14:K14"/>
    <mergeCell ref="A15:C15"/>
    <mergeCell ref="D15:K15"/>
    <mergeCell ref="B20:C20"/>
    <mergeCell ref="A19:C19"/>
    <mergeCell ref="D19:K19"/>
    <mergeCell ref="A16:C16"/>
    <mergeCell ref="D16:K16"/>
    <mergeCell ref="A17:C17"/>
    <mergeCell ref="D17:K17"/>
    <mergeCell ref="A18:C18"/>
    <mergeCell ref="D18:K18"/>
  </mergeCells>
  <phoneticPr fontId="8" type="noConversion"/>
  <hyperlinks>
    <hyperlink ref="D15" r:id="rId1" display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xr:uid="{4E1F85CB-CEBB-4D03-936C-3CAF0FD93450}"/>
    <hyperlink ref="D14" r:id="rId2" xr:uid="{8E96E94B-B02B-4A78-8905-B02734CA3FAF}"/>
    <hyperlink ref="D16" r:id="rId3" display="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" xr:uid="{A2BAC7CE-942F-44D2-B397-106C8FB9874C}"/>
    <hyperlink ref="D17" r:id="rId4" display="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" xr:uid="{129C37D8-E62C-4A33-8FCB-68ECDE4CF76C}"/>
    <hyperlink ref="D3" r:id="rId5" display="https://detail.tmall.com/item.htm?abbucket=10&amp;id=863604223100&amp;mi_id=0000iCNn3cxwSLzm6X4ovXKH5L63i60e-fWvUhbAKWGYR50&amp;ns=1&amp;priceTId=213e034c17758982317233376e10dd&amp;skuId=5694374352054&amp;spm=a21n57.1.hoverItem.5&amp;utparam=%7B%22aplus_abtest%22%3A%22a7530a8b6d50aaa080c98268dc979164%22%7D&amp;xxc=taobaoSearch" xr:uid="{4AB5E0BC-9D99-41C4-949B-287AC436711B}"/>
    <hyperlink ref="D4" r:id="rId6" display="https://detail.tmall.com/item.htm?ali_refid=a3_430582_1006%3A1109983619%3AH%3ApyON%2B4AOdjlAJAKW%2BsD4vg%3D%3D%3A15ba1312daf8ccb1824d6acdd3cf30fd&amp;ali_trackid=318_15ba1312daf8ccb1824d6acdd3cf30fd&amp;id=41272469644&amp;mi_id=0000PI9imKTDn1lwneiISNwm2tCS_qfnn2dpT9yLI5l-xXI&amp;mm_sceneid=0_0_98938874_0&amp;priceTId=213e034c17758982621515993e10dd&amp;spm=a21n57.1.hoverItem.1&amp;utparam=%7B%22aplus_abtest%22%3A%225db0a400bc3c00853350093d434002ad%22%7D&amp;xxc=ad_ztc" xr:uid="{B62CC604-B6C1-419E-BE91-EE3556AA6ABF}"/>
    <hyperlink ref="D5" r:id="rId7" display="https://item.taobao.com/item.htm?ali_refid=a3_430582_1006%3A1121464922%3AH%3AcoJD1DlUFrstmZvmLqNQvn2trDRs9%2Fqc%3Ac068417667b3b06ba8e69319ef7c803f&amp;ali_trackid=295_c068417667b3b06ba8e69319ef7c803f&amp;id=949308532275&amp;mi_id=00007butFlWbuBVv0zNKTf8WVYzSH0BDulWNiqgv7noeoxI&amp;mm_sceneid=2_0_111680763_0&amp;priceTId=213e034c17758982929398588e10dd&amp;spm=a21n57.1.item.1&amp;utparam=%7B%22aplus_abtest%22%3A%228d45ed2e2a8bf05c6035c5908edc94a8%22%7D&amp;xxc=ad_ztc" xr:uid="{33FDCA14-C0A9-4F3F-A333-146A61513EA8}"/>
    <hyperlink ref="D6" r:id="rId8" display="https://item.taobao.com/item.htm?abbucket=10&amp;id=522576344188&amp;mi_id=0000adVQ8rifA-CZadxFHLrz6b2PbZQT6ds6yHygZduRSZc&amp;ns=1&amp;priceTId=213e034c17758983232133118e10dd&amp;spm=a21n57.1.hoverItem.2&amp;utparam=%7B%22aplus_abtest%22%3A%2268b7eed4bd4b0fd224baac98a4cb55c4%22%7D&amp;xxc=taobaoSearch" xr:uid="{9CD728E6-061A-4868-BA75-B3A1E2F8738E}"/>
    <hyperlink ref="D7" r:id="rId9" display="https://item.taobao.com/item.htm?abbucket=10&amp;id=989578787883&amp;mi_id=0000cmxU1v8GiiT-MTmIicFPgMtsqeXxadB4wtnXYs3psag&amp;ns=1&amp;priceTId=213e034c17758984403494619e10dd&amp;spm=a21n57.1.hoverItem.3&amp;utparam=%7B%22aplus_abtest%22%3A%22c72a77c20d205a2bb55d2cc679b0c0e8%22%7D&amp;xxc=taobaoSearch" xr:uid="{6D444901-9619-4722-A522-9F8D7BED0A9A}"/>
    <hyperlink ref="D8" r:id="rId10" display="https://item.taobao.com/item.htm?abbucket=10&amp;id=562145367495&amp;mi_id=00004Vu1wO8wTf-ynDFOaRALU33RlHhn0kB-fsqTin7zLZs&amp;ns=1&amp;priceTId=213e034c17758984611346320e10dd&amp;skuId=4843968313710&amp;spm=a21n57.1.hoverItem.2&amp;utparam=%7B%22aplus_abtest%22%3A%2236e95f114bb1635e4764d7d27eef27b1%22%7D&amp;xxc=taobaoSearch" xr:uid="{1B3D0F84-1F60-4712-9B6D-354F13D92D57}"/>
    <hyperlink ref="D9" r:id="rId11" display="https://item.taobao.com/item.htm?abbucket=10&amp;id=544369472713&amp;mi_id=0000QUhmHmkf2-UImbPiYAQlRglVqzFTc7zGdMbPkyYxg3Y&amp;ns=1&amp;priceTId=213e034c17758984955141144e10dd&amp;spm=a21n57.1.hoverItem.3&amp;utparam=%7B%22aplus_abtest%22%3A%221165642570e3bf1b3452edb0303909fe%22%7D&amp;xxc=taobaoSearch" xr:uid="{66E0E922-83D8-4A7B-8819-097E91958748}"/>
    <hyperlink ref="D10" r:id="rId12" display="https://item.taobao.com/item.htm?ali_refid=a3_430582_1006%3A1121464922%3AH%3ATLLgYJJF9Cjg3NH10XptEnahdFvQYGOd%3Acf58c171389a8aa1b063652862d3bfd0&amp;ali_trackid=318_cf58c171389a8aa1b063652862d3bfd0&amp;id=549692985984&amp;mi_id=0000SF0znSKwYhHdCjB0ujf7h8UTlO_g4LRHvAl9T6DZwKA&amp;mm_sceneid=0_0_111680763_0&amp;priceTId=213e034c17758985210113622e10dd&amp;skuId=5006943327907&amp;spm=a21n57.1.hoverItem.1&amp;utparam=%7B%22aplus_abtest%22%3A%22b2c1c68c906268072d981a7f14b07eaa%22%7D&amp;xxc=ad_ztc" xr:uid="{3F9F3052-B31A-44BB-96B7-0D91DE9128B5}"/>
    <hyperlink ref="D11" r:id="rId13" display="https://detail.tmall.com/item.htm?abbucket=10&amp;id=639354618453&amp;mi_id=0000KWZjsQiqum3HlCL62NXFS5eOJzRFSaZtUk-kfufSZBE&amp;ns=1&amp;priceTId=213e034c17758985544336987e10dd&amp;skuId=4587478761838&amp;spm=a21n57.1.hoverItem.30&amp;utparam=%7B%22aplus_abtest%22%3A%22f69440349c69a22ddcd2dfb8e1cd3f8d%22%7D&amp;xxc=taobaoSearch" xr:uid="{6DA492EF-CFB5-4B7E-9E57-5B4F23AB9495}"/>
    <hyperlink ref="D12" r:id="rId14" display="https://detail.tmall.com/item.htm?ali_refid=a3_430582_1006%3A1303560141%3AN%3APWMnUYdP5%2Fe%2FhVGXT5DfElZVWVucNkUD%3A2b25fe8552a8f8468260bc273ef05928&amp;ali_trackid=1_2b25fe8552a8f8468260bc273ef05928&amp;id=678498890304&amp;mi_id=0000cMluIPO8xvZQPlXTNzUzxSOHHbKL_O04eqTbFdzvFP8&amp;mm_sceneid=1_0_727720075_0&amp;priceTId=213e034c17758986137223980e10dd&amp;skuId=5719859296396&amp;spm=a21n57.1.item.1&amp;utparam=%7B%22aplus_abtest%22%3A%2264169ac1afd9545e042c0bc7104d69c8%22%7D&amp;xxc=ad_ztc" xr:uid="{3EFC764E-88A2-4361-BFFC-FCD202AE1F6F}"/>
    <hyperlink ref="D13" r:id="rId15" display="https://item.taobao.com/item.htm?abbucket=10&amp;id=638943394753&amp;mi_id=0000BGjlHn6nJoZLUZNUosord58OGaqi1dWXry1GDfGFa2Q&amp;ns=1&amp;priceTId=213e034c17758986386806395e10dd&amp;skuId=6128889758613&amp;spm=a21n57.1.hoverItem.4&amp;utparam=%7B%22aplus_abtest%22%3A%224ef5e6a8f6eae577f3572d3c5a298ffd%22%7D&amp;xxc=taobaoSearch" xr:uid="{E0FB4F3A-9D60-4BDF-BF25-60CA5CA047C9}"/>
  </hyperlinks>
  <pageMargins left="0.75" right="0.75" top="1" bottom="1" header="0.51180555555555596" footer="0.51180555555555596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dong He</cp:lastModifiedBy>
  <dcterms:created xsi:type="dcterms:W3CDTF">2024-01-09T21:26:37Z</dcterms:created>
  <dcterms:modified xsi:type="dcterms:W3CDTF">2026-04-11T09:16:46Z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9acb55dc3d3041b1b9ea411ad43e7201_23</vt:lpwstr>
  </property>
  <property fmtid="{D5CDD505-2E9C-101B-9397-08002B2CF9AE}" pid="4" name="KSOProductBuildVer">
    <vt:lpwstr>2052-12.7.0</vt:lpwstr>
  </property>
</Properties>
</file>