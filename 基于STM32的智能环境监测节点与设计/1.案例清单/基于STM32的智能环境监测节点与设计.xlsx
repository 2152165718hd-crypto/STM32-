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15\基于STM32的智能环境监测节点与设计\1.案例清单\"/>
    </mc:Choice>
  </mc:AlternateContent>
  <xr:revisionPtr revIDLastSave="0" documentId="13_ncr:1_{19B1107F-DF26-4D88-8A06-4F4D1F7544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3" i="1"/>
  <c r="O9" i="1"/>
  <c r="O8" i="1"/>
  <c r="O10" i="1"/>
  <c r="O7" i="1"/>
  <c r="O6" i="1"/>
  <c r="O11" i="1"/>
  <c r="O12" i="1"/>
  <c r="O5" i="1"/>
  <c r="O13" i="1"/>
  <c r="B18" i="1" l="1"/>
</calcChain>
</file>

<file path=xl/sharedStrings.xml><?xml version="1.0" encoding="utf-8"?>
<sst xmlns="http://schemas.openxmlformats.org/spreadsheetml/2006/main" count="44" uniqueCount="39">
  <si>
    <t>型号</t>
  </si>
  <si>
    <t>链接</t>
  </si>
  <si>
    <t>单价</t>
  </si>
  <si>
    <t>数量</t>
  </si>
  <si>
    <t>单价总价</t>
  </si>
  <si>
    <t>备注</t>
  </si>
  <si>
    <t>总计</t>
  </si>
  <si>
    <t>STM32F103C8T6核心开发板</t>
  </si>
  <si>
    <t>0.96寸白色OLED模块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</si>
  <si>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</si>
  <si>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</si>
  <si>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</si>
  <si>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</si>
  <si>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</si>
  <si>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</si>
  <si>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</si>
  <si>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LED</t>
  </si>
  <si>
    <t>限流电阻</t>
  </si>
  <si>
    <t>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</t>
  </si>
  <si>
    <t>https://detail.tmall.com/item.htm?ali_refid=a3_430582_1006%3A1303560141%3AH%3ABt664A9f4LgL69LZxL%2Biz4rxguGcfBp1rxow4qUDZaA%3D%3Ab7566a3b8d73efcc31c4622fb674b825&amp;ali_trackid=318_b7566a3b8d73efcc31c4622fb674b825&amp;id=676843581731&amp;mi_id=0000XR0h2BLXAHwL7-eAM5la7JZDwb6y7EX6H4iLSTAoz3k&amp;mm_sceneid=0_0_727720075_0&amp;priceTId=214781bc17758139358803732e1040&amp;skuId=5064710945904&amp;spm=a21n57.1.hoverItem.1&amp;utparam=%7B%22aplus_abtest%22%3A%2262117619f600c65d5cc81605392925ab%22%7D&amp;xxc=ad_ztc</t>
  </si>
  <si>
    <t>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</t>
  </si>
  <si>
    <t>蜂鸣器</t>
  </si>
  <si>
    <t>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</t>
  </si>
  <si>
    <t>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</t>
  </si>
  <si>
    <t>基于STM32的智能环境监测节点与设计采购清单</t>
  </si>
  <si>
    <t>ZigBee模块</t>
  </si>
  <si>
    <t>WiFi模块</t>
  </si>
  <si>
    <t>温湿度传感器</t>
  </si>
  <si>
    <t>PM2.5传感器</t>
  </si>
  <si>
    <t>气体传感器（MQ-135）</t>
  </si>
  <si>
    <t>光照传感器（BH1750）</t>
  </si>
  <si>
    <t>排针</t>
  </si>
  <si>
    <t>https://item.taobao.com/item.htm?abbucket=10&amp;id=543468772547&amp;mi_id=0000_-GgDSW6L4_LTPP9kotaEg9vyIlfmTnGg8-0Spq3Jwo&amp;ns=1&amp;priceTId=2147802617763480014432373e119c&amp;skuId=4994815692417&amp;spm=a21n57.1.hoverItem.6&amp;utparam=%7B%22aplus_abtest%22%3A%22bd6ee00ff308412156afeb77df62c2b0%22%7D&amp;xxc=taobaoSearch</t>
  </si>
  <si>
    <t>https://item.taobao.com/item.htm?abbucket=10&amp;id=616950740381&amp;mi_id=0000NtbZaHNR8Mb_heQf8gsWTfJw1y7Hi8tCRunUWRVfNb0&amp;ns=1&amp;priceTId=2147802617763480336914851e119c&amp;skuId=5265463260877&amp;spm=a21n57.1.hoverItem.6&amp;utparam=%7B%22aplus_abtest%22%3A%2230515093653efa886adedcf742a386a8%22%7D&amp;xxc=taobaoSearch</t>
  </si>
  <si>
    <t>https://detail.tmall.com/item.htm?ali_refid=a3_430582_1006%3A1109983619%3AH%3Awvzno8IGr98zWX5bQdWeIn2trDRs9%2Fqc%3Aa63116a3fe8a7dbb8e62f576d1ed0340&amp;ali_trackid=318_a63116a3fe8a7dbb8e62f576d1ed0340&amp;id=550347916885&amp;mi_id=0000t7X8ZxKsz_5wtCY9go2BO6suVp-X8chLm8BN1kn7vpY&amp;mm_sceneid=0_0_98938874_0&amp;priceTId=2147846617763481407382446e12be&amp;skuId=5369587279582&amp;spm=a21n57.1.hoverItem.1&amp;utparam=%7B%22aplus_abtest%22%3A%227789627855e713c2c31c83b6511a6851%22%7D&amp;xxc=ad_ztc</t>
  </si>
  <si>
    <t>https://detail.tmall.com/item.htm?abbucket=10&amp;id=695092390480&amp;mi_id=0000YqUlo57ic_f6JmYSS6Zf8yvh9s5VbIHefqQprBId0Sg&amp;ns=1&amp;priceTId=2147818917763482452467790e11e9&amp;spm=a21n57.1.hoverItem.4&amp;utparam=%7B%22aplus_abtest%22%3A%2209a047933c2cd522e18c498d10f4d7bb%22%7D&amp;xxc=taobaoSearch</t>
  </si>
  <si>
    <t>https://detail.tmall.com/item.htm?ali_refid=a3_430582_1006%3A1109983619%3AH%3ALVy2v9LMI01eVWGIyVzorQ%3D%3D%3A565150413814435a733dabd6304e202e&amp;ali_trackid=318_565150413814435a733dabd6304e202e&amp;id=41286408463&amp;mi_id=0000ZBLQ_xnbrNFW7k9sEHJHZfC42zTnUV1nd12D5KY1xro&amp;mm_sceneid=0_0_98938874_0&amp;priceTId=2147839517763483167175194e120f&amp;spm=a21n57.1.hoverItem.1&amp;utparam=%7B%22aplus_abtest%22%3A%2291ddb640e0ff36619ba6fb268901b28d%22%7D&amp;xxc=ad_ztc</t>
  </si>
  <si>
    <t>https://detail.tmall.com/item.htm?ali_refid=a3_430582_1006%3A1104520036%3AN%3AH%2FyD9ppkTqDtI4vK6pvZww%3D%3D%3A1ba77a8ce849520c02746933e2063bc3&amp;ali_trackid=1_1ba77a8ce849520c02746933e2063bc3&amp;id=13700799942&amp;mi_id=0000c02HaqkJvuBdtgNx843cl_1-LFWux6g11O_6oDdVwD4&amp;mm_sceneid=1_0_28706210_0&amp;priceTId=2147831417763483492102932e129e&amp;skuId=3453209150988&amp;spm=a21n57.1.hoverItem.1&amp;utparam=%7B%22aplus_abtest%22%3A%22e1725c82bfeeda49109fdb6975849636%22%7D&amp;xxc=ad_ztc</t>
  </si>
  <si>
    <t>https://item.taobao.com/item.htm?from=cart&amp;id=546508373498&amp;mi_id=0000IFZJQTQe4y2uLzVyx8cB58JDaJJTY4kZVYEO7jHuKDU&amp;spm=a1z0d.6639537%2F202410.item.d546508373498.7f327484fmq7C8&amp;upStreamPrice=3200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</si>
</sst>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Fill="1" applyBorder="1">
      <alignment vertical="center"/>
    </xf>
    <xf numFmtId="0" fontId="0" fillId="0" borderId="1" xfId="0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10&amp;id=616950740381&amp;mi_id=0000NtbZaHNR8Mb_heQf8gsWTfJw1y7Hi8tCRunUWRVfNb0&amp;ns=1&amp;priceTId=2147802617763480336914851e119c&amp;skuId=5265463260877&amp;spm=a21n57.1.hoverItem.6&amp;utparam=%7B%22aplus_abtest%22%3A%2230515093653efa886adedcf742a386a8%22%7D&amp;xxc=taobaoSearch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TargetMode="External"/><Relationship Id="rId7" Type="http://schemas.openxmlformats.org/officeDocument/2006/relationships/hyperlink" Target="https://item.taobao.com/item.htm?abbucket=10&amp;id=543468772547&amp;mi_id=0000_-GgDSW6L4_LTPP9kotaEg9vyIlfmTnGg8-0Spq3Jwo&amp;ns=1&amp;priceTId=2147802617763480014432373e119c&amp;skuId=4994815692417&amp;spm=a21n57.1.hoverItem.6&amp;utparam=%7B%22aplus_abtest%22%3A%22bd6ee00ff308412156afeb77df62c2b0%22%7D&amp;xxc=taobaoSearch" TargetMode="External"/><Relationship Id="rId12" Type="http://schemas.openxmlformats.org/officeDocument/2006/relationships/hyperlink" Target="https://item.taobao.com/item.htm?from=cart&amp;id=546508373498&amp;mi_id=0000IFZJQTQe4y2uLzVyx8cB58JDaJJTY4kZVYEO7jHuKDU&amp;spm=a1z0d.6639537%2F202410.item.d546508373498.7f327484fmq7C8&amp;upStreamPrice=3200" TargetMode="External"/><Relationship Id="rId2" Type="http://schemas.openxmlformats.org/officeDocument/2006/relationships/hyperlink" Target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TargetMode="External"/><Relationship Id="rId1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6" Type="http://schemas.openxmlformats.org/officeDocument/2006/relationships/hyperlink" Target="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" TargetMode="External"/><Relationship Id="rId11" Type="http://schemas.openxmlformats.org/officeDocument/2006/relationships/hyperlink" Target="https://detail.tmall.com/item.htm?ali_refid=a3_430582_1006%3A1104520036%3AN%3AH%2FyD9ppkTqDtI4vK6pvZww%3D%3D%3A1ba77a8ce849520c02746933e2063bc3&amp;ali_trackid=1_1ba77a8ce849520c02746933e2063bc3&amp;id=13700799942&amp;mi_id=0000c02HaqkJvuBdtgNx843cl_1-LFWux6g11O_6oDdVwD4&amp;mm_sceneid=1_0_28706210_0&amp;priceTId=2147831417763483492102932e129e&amp;skuId=3453209150988&amp;spm=a21n57.1.hoverItem.1&amp;utparam=%7B%22aplus_abtest%22%3A%22e1725c82bfeeda49109fdb6975849636%22%7D&amp;xxc=ad_ztc" TargetMode="External"/><Relationship Id="rId5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10" Type="http://schemas.openxmlformats.org/officeDocument/2006/relationships/hyperlink" Target="https://detail.tmall.com/item.htm?ali_refid=a3_430582_1006%3A1109983619%3AH%3ALVy2v9LMI01eVWGIyVzorQ%3D%3D%3A565150413814435a733dabd6304e202e&amp;ali_trackid=318_565150413814435a733dabd6304e202e&amp;id=41286408463&amp;mi_id=0000ZBLQ_xnbrNFW7k9sEHJHZfC42zTnUV1nd12D5KY1xro&amp;mm_sceneid=0_0_98938874_0&amp;priceTId=2147839517763483167175194e120f&amp;spm=a21n57.1.hoverItem.1&amp;utparam=%7B%22aplus_abtest%22%3A%2291ddb640e0ff36619ba6fb268901b28d%22%7D&amp;xxc=ad_ztc" TargetMode="External"/><Relationship Id="rId4" Type="http://schemas.openxmlformats.org/officeDocument/2006/relationships/hyperlink" Target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TargetMode="External"/><Relationship Id="rId9" Type="http://schemas.openxmlformats.org/officeDocument/2006/relationships/hyperlink" Target="https://detail.tmall.com/item.htm?abbucket=10&amp;id=695092390480&amp;mi_id=0000YqUlo57ic_f6JmYSS6Zf8yvh9s5VbIHefqQprBId0Sg&amp;ns=1&amp;priceTId=2147818917763482452467790e11e9&amp;spm=a21n57.1.hoverItem.4&amp;utparam=%7B%22aplus_abtest%22%3A%2209a047933c2cd522e18c498d10f4d7bb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115" zoomScaleNormal="115" workbookViewId="0">
      <selection activeCell="L6" sqref="L6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4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7" ht="27.75" customHeight="1">
      <c r="A2" s="16" t="s">
        <v>0</v>
      </c>
      <c r="B2" s="16"/>
      <c r="C2" s="16"/>
      <c r="D2" s="16" t="s">
        <v>1</v>
      </c>
      <c r="E2" s="16"/>
      <c r="F2" s="16"/>
      <c r="G2" s="16"/>
      <c r="H2" s="16"/>
      <c r="I2" s="16"/>
      <c r="J2" s="16"/>
      <c r="K2" s="16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8" t="s">
        <v>7</v>
      </c>
      <c r="B3" s="8"/>
      <c r="C3" s="8"/>
      <c r="D3" s="17" t="s">
        <v>19</v>
      </c>
      <c r="E3" s="17"/>
      <c r="F3" s="17"/>
      <c r="G3" s="17"/>
      <c r="H3" s="17"/>
      <c r="I3" s="17"/>
      <c r="J3" s="17"/>
      <c r="K3" s="17"/>
      <c r="L3" s="4">
        <v>13.95</v>
      </c>
      <c r="M3" s="4">
        <v>2</v>
      </c>
      <c r="N3" s="4">
        <f>L3*M3</f>
        <v>27.9</v>
      </c>
      <c r="O3" s="6" t="s">
        <v>7</v>
      </c>
    </row>
    <row r="4" spans="1:17" ht="23.25" customHeight="1">
      <c r="A4" s="8" t="s">
        <v>8</v>
      </c>
      <c r="B4" s="8"/>
      <c r="C4" s="8"/>
      <c r="D4" s="9" t="s">
        <v>20</v>
      </c>
      <c r="E4" s="10"/>
      <c r="F4" s="10"/>
      <c r="G4" s="10"/>
      <c r="H4" s="10"/>
      <c r="I4" s="10"/>
      <c r="J4" s="10"/>
      <c r="K4" s="10"/>
      <c r="L4" s="4">
        <v>13.39</v>
      </c>
      <c r="M4" s="3">
        <v>2</v>
      </c>
      <c r="N4" s="4">
        <f t="shared" ref="N4:N12" si="0">L4*M4</f>
        <v>26.78</v>
      </c>
      <c r="O4" s="4" t="s">
        <v>8</v>
      </c>
    </row>
    <row r="5" spans="1:17" ht="24.75" customHeight="1">
      <c r="A5" s="11" t="s">
        <v>21</v>
      </c>
      <c r="B5" s="11"/>
      <c r="C5" s="11"/>
      <c r="D5" s="12" t="s">
        <v>22</v>
      </c>
      <c r="E5" s="13"/>
      <c r="F5" s="13"/>
      <c r="G5" s="13"/>
      <c r="H5" s="13"/>
      <c r="I5" s="13"/>
      <c r="J5" s="13"/>
      <c r="K5" s="13"/>
      <c r="L5" s="4">
        <v>2.9</v>
      </c>
      <c r="M5" s="4">
        <v>1</v>
      </c>
      <c r="N5" s="4">
        <f t="shared" si="0"/>
        <v>2.9</v>
      </c>
      <c r="O5" s="4" t="str">
        <f t="shared" ref="O5:O12" si="1">A5</f>
        <v>蜂鸣器</v>
      </c>
    </row>
    <row r="6" spans="1:17" ht="24.75" customHeight="1">
      <c r="A6" s="11" t="s">
        <v>25</v>
      </c>
      <c r="B6" s="11"/>
      <c r="C6" s="11"/>
      <c r="D6" s="12" t="s">
        <v>38</v>
      </c>
      <c r="E6" s="13"/>
      <c r="F6" s="13"/>
      <c r="G6" s="13"/>
      <c r="H6" s="13"/>
      <c r="I6" s="13"/>
      <c r="J6" s="13"/>
      <c r="K6" s="13"/>
      <c r="L6" s="4">
        <v>32</v>
      </c>
      <c r="M6" s="4">
        <v>2</v>
      </c>
      <c r="N6" s="4">
        <f t="shared" si="0"/>
        <v>64</v>
      </c>
      <c r="O6" s="4" t="str">
        <f t="shared" ref="O6:O10" si="2">A6</f>
        <v>ZigBee模块</v>
      </c>
    </row>
    <row r="7" spans="1:17" ht="24.75" customHeight="1">
      <c r="A7" s="11" t="s">
        <v>26</v>
      </c>
      <c r="B7" s="11"/>
      <c r="C7" s="11"/>
      <c r="D7" s="12" t="s">
        <v>32</v>
      </c>
      <c r="E7" s="13"/>
      <c r="F7" s="13"/>
      <c r="G7" s="13"/>
      <c r="H7" s="13"/>
      <c r="I7" s="13"/>
      <c r="J7" s="13"/>
      <c r="K7" s="13"/>
      <c r="L7" s="4">
        <v>10.8</v>
      </c>
      <c r="M7" s="4">
        <v>1</v>
      </c>
      <c r="N7" s="4">
        <f t="shared" si="0"/>
        <v>10.8</v>
      </c>
      <c r="O7" s="4" t="str">
        <f t="shared" si="2"/>
        <v>WiFi模块</v>
      </c>
    </row>
    <row r="8" spans="1:17" ht="24.75" customHeight="1">
      <c r="A8" s="11" t="s">
        <v>27</v>
      </c>
      <c r="B8" s="11"/>
      <c r="C8" s="11"/>
      <c r="D8" s="12" t="s">
        <v>33</v>
      </c>
      <c r="E8" s="13"/>
      <c r="F8" s="13"/>
      <c r="G8" s="13"/>
      <c r="H8" s="13"/>
      <c r="I8" s="13"/>
      <c r="J8" s="13"/>
      <c r="K8" s="13"/>
      <c r="L8" s="4">
        <v>6.5</v>
      </c>
      <c r="M8" s="4">
        <v>1</v>
      </c>
      <c r="N8" s="4">
        <f t="shared" si="0"/>
        <v>6.5</v>
      </c>
      <c r="O8" s="4" t="str">
        <f t="shared" ref="O8:O9" si="3">A8</f>
        <v>温湿度传感器</v>
      </c>
    </row>
    <row r="9" spans="1:17" ht="24.75" customHeight="1">
      <c r="A9" s="11" t="s">
        <v>28</v>
      </c>
      <c r="B9" s="11"/>
      <c r="C9" s="11"/>
      <c r="D9" s="12" t="s">
        <v>34</v>
      </c>
      <c r="E9" s="13"/>
      <c r="F9" s="13"/>
      <c r="G9" s="13"/>
      <c r="H9" s="13"/>
      <c r="I9" s="13"/>
      <c r="J9" s="13"/>
      <c r="K9" s="13"/>
      <c r="L9" s="4">
        <v>34.33</v>
      </c>
      <c r="M9" s="4">
        <v>1</v>
      </c>
      <c r="N9" s="4">
        <f t="shared" si="0"/>
        <v>34.33</v>
      </c>
      <c r="O9" s="4" t="str">
        <f t="shared" si="3"/>
        <v>PM2.5传感器</v>
      </c>
    </row>
    <row r="10" spans="1:17" ht="24.75" customHeight="1">
      <c r="A10" s="11" t="s">
        <v>29</v>
      </c>
      <c r="B10" s="11"/>
      <c r="C10" s="11"/>
      <c r="D10" s="12" t="s">
        <v>35</v>
      </c>
      <c r="E10" s="13"/>
      <c r="F10" s="13"/>
      <c r="G10" s="13"/>
      <c r="H10" s="13"/>
      <c r="I10" s="13"/>
      <c r="J10" s="13"/>
      <c r="K10" s="13"/>
      <c r="L10" s="4">
        <v>10.25</v>
      </c>
      <c r="M10" s="4">
        <v>1</v>
      </c>
      <c r="N10" s="4">
        <f t="shared" si="0"/>
        <v>10.25</v>
      </c>
      <c r="O10" s="4" t="str">
        <f t="shared" si="2"/>
        <v>气体传感器（MQ-135）</v>
      </c>
    </row>
    <row r="11" spans="1:17" ht="24.75" customHeight="1">
      <c r="A11" s="11" t="s">
        <v>30</v>
      </c>
      <c r="B11" s="11"/>
      <c r="C11" s="11"/>
      <c r="D11" s="12" t="s">
        <v>36</v>
      </c>
      <c r="E11" s="13"/>
      <c r="F11" s="13"/>
      <c r="G11" s="13"/>
      <c r="H11" s="13"/>
      <c r="I11" s="13"/>
      <c r="J11" s="13"/>
      <c r="K11" s="13"/>
      <c r="L11" s="4">
        <v>9.0500000000000007</v>
      </c>
      <c r="M11" s="4">
        <v>1</v>
      </c>
      <c r="N11" s="4">
        <f t="shared" si="0"/>
        <v>9.0500000000000007</v>
      </c>
      <c r="O11" s="4" t="str">
        <f t="shared" si="1"/>
        <v>光照传感器（BH1750）</v>
      </c>
    </row>
    <row r="12" spans="1:17" ht="24.75" customHeight="1">
      <c r="A12" s="11" t="s">
        <v>31</v>
      </c>
      <c r="B12" s="11"/>
      <c r="C12" s="11"/>
      <c r="D12" s="12" t="s">
        <v>37</v>
      </c>
      <c r="E12" s="13"/>
      <c r="F12" s="13"/>
      <c r="G12" s="13"/>
      <c r="H12" s="13"/>
      <c r="I12" s="13"/>
      <c r="J12" s="13"/>
      <c r="K12" s="13"/>
      <c r="L12" s="4">
        <v>3.49</v>
      </c>
      <c r="M12" s="4">
        <v>1</v>
      </c>
      <c r="N12" s="4">
        <f t="shared" si="0"/>
        <v>3.49</v>
      </c>
      <c r="O12" s="4" t="str">
        <f t="shared" si="1"/>
        <v>排针</v>
      </c>
    </row>
    <row r="13" spans="1:17" ht="24.75" customHeight="1">
      <c r="A13" s="11" t="s">
        <v>13</v>
      </c>
      <c r="B13" s="11"/>
      <c r="C13" s="11"/>
      <c r="D13" s="12" t="s">
        <v>23</v>
      </c>
      <c r="E13" s="13"/>
      <c r="F13" s="13"/>
      <c r="G13" s="13"/>
      <c r="H13" s="13"/>
      <c r="I13" s="13"/>
      <c r="J13" s="13"/>
      <c r="K13" s="13"/>
      <c r="L13" s="4">
        <v>4.9000000000000004</v>
      </c>
      <c r="M13" s="4">
        <v>1</v>
      </c>
      <c r="N13" s="4">
        <v>4.9000000000000004</v>
      </c>
      <c r="O13" s="4" t="str">
        <f t="shared" ref="O13" si="4">A13</f>
        <v>排母</v>
      </c>
    </row>
    <row r="14" spans="1:17" ht="24.75" customHeight="1">
      <c r="A14" s="11" t="s">
        <v>14</v>
      </c>
      <c r="B14" s="11"/>
      <c r="C14" s="11"/>
      <c r="D14" s="9" t="s">
        <v>15</v>
      </c>
      <c r="E14" s="10"/>
      <c r="F14" s="10"/>
      <c r="G14" s="10"/>
      <c r="H14" s="10"/>
      <c r="I14" s="10"/>
      <c r="J14" s="10"/>
      <c r="K14" s="10"/>
      <c r="L14" s="4">
        <v>3.52</v>
      </c>
      <c r="M14" s="4">
        <v>1</v>
      </c>
      <c r="N14" s="4">
        <v>3.52</v>
      </c>
      <c r="O14" s="4" t="s">
        <v>16</v>
      </c>
      <c r="P14" s="4"/>
      <c r="Q14" s="4"/>
    </row>
    <row r="15" spans="1:17" ht="24.75" customHeight="1">
      <c r="A15" s="11" t="s">
        <v>17</v>
      </c>
      <c r="B15" s="11"/>
      <c r="C15" s="11"/>
      <c r="D15" s="9" t="s">
        <v>18</v>
      </c>
      <c r="E15" s="10"/>
      <c r="F15" s="10"/>
      <c r="G15" s="10"/>
      <c r="H15" s="10"/>
      <c r="I15" s="10"/>
      <c r="J15" s="10"/>
      <c r="K15" s="10"/>
      <c r="L15" s="4">
        <v>1.35</v>
      </c>
      <c r="M15" s="4">
        <v>1</v>
      </c>
      <c r="N15" s="4">
        <v>1.35</v>
      </c>
      <c r="O15" s="4" t="s">
        <v>17</v>
      </c>
      <c r="P15" s="4"/>
      <c r="Q15" s="4"/>
    </row>
    <row r="16" spans="1:17" ht="23.45" customHeight="1">
      <c r="A16" s="11" t="s">
        <v>11</v>
      </c>
      <c r="B16" s="11"/>
      <c r="C16" s="11"/>
      <c r="D16" s="9" t="s">
        <v>12</v>
      </c>
      <c r="E16" s="10"/>
      <c r="F16" s="10"/>
      <c r="G16" s="10"/>
      <c r="H16" s="10"/>
      <c r="I16" s="10"/>
      <c r="J16" s="10"/>
      <c r="K16" s="10"/>
      <c r="L16" s="4">
        <v>3.8</v>
      </c>
      <c r="M16" s="4">
        <v>1</v>
      </c>
      <c r="N16" s="4">
        <v>3.8</v>
      </c>
      <c r="O16" s="4" t="s">
        <v>11</v>
      </c>
    </row>
    <row r="17" spans="1:15" ht="24.75" customHeight="1">
      <c r="A17" s="11" t="s">
        <v>9</v>
      </c>
      <c r="B17" s="11"/>
      <c r="C17" s="11"/>
      <c r="D17" s="9" t="s">
        <v>10</v>
      </c>
      <c r="E17" s="10"/>
      <c r="F17" s="10"/>
      <c r="G17" s="10"/>
      <c r="H17" s="10"/>
      <c r="I17" s="10"/>
      <c r="J17" s="10"/>
      <c r="K17" s="10"/>
      <c r="L17" s="4">
        <v>20</v>
      </c>
      <c r="M17" s="4">
        <v>2</v>
      </c>
      <c r="N17" s="4">
        <v>40</v>
      </c>
      <c r="O17" s="4" t="s">
        <v>9</v>
      </c>
    </row>
    <row r="18" spans="1:15" ht="23.25" customHeight="1">
      <c r="A18" s="7" t="s">
        <v>6</v>
      </c>
      <c r="B18" s="18">
        <f>SUM(N3:N17)</f>
        <v>249.57000000000002</v>
      </c>
      <c r="C18" s="1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21" spans="1:15" ht="14.1" customHeight="1">
      <c r="H21" s="5"/>
    </row>
  </sheetData>
  <mergeCells count="34">
    <mergeCell ref="A8:C8"/>
    <mergeCell ref="D8:K8"/>
    <mergeCell ref="D15:K15"/>
    <mergeCell ref="A16:C16"/>
    <mergeCell ref="B18:C18"/>
    <mergeCell ref="A17:C17"/>
    <mergeCell ref="D17:K17"/>
    <mergeCell ref="D16:K16"/>
    <mergeCell ref="A14:C14"/>
    <mergeCell ref="D14:K14"/>
    <mergeCell ref="A15:C15"/>
    <mergeCell ref="A13:C13"/>
    <mergeCell ref="D13:K13"/>
    <mergeCell ref="A1:O1"/>
    <mergeCell ref="D2:K2"/>
    <mergeCell ref="A2:C2"/>
    <mergeCell ref="A3:C3"/>
    <mergeCell ref="D3:K3"/>
    <mergeCell ref="A4:C4"/>
    <mergeCell ref="D4:K4"/>
    <mergeCell ref="A12:C12"/>
    <mergeCell ref="A5:C5"/>
    <mergeCell ref="D5:K5"/>
    <mergeCell ref="A11:C11"/>
    <mergeCell ref="D11:K11"/>
    <mergeCell ref="A10:C10"/>
    <mergeCell ref="D10:K10"/>
    <mergeCell ref="A7:C7"/>
    <mergeCell ref="D7:K7"/>
    <mergeCell ref="A9:C9"/>
    <mergeCell ref="D9:K9"/>
    <mergeCell ref="D12:K12"/>
    <mergeCell ref="A6:C6"/>
    <mergeCell ref="D6:K6"/>
  </mergeCells>
  <phoneticPr fontId="8" type="noConversion"/>
  <hyperlinks>
    <hyperlink ref="D14" r:id="rId1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0A418541-0F85-431B-BA6C-1D0D620128E0}"/>
    <hyperlink ref="D15" r:id="rId2" display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xr:uid="{73E17930-AFD1-4129-BE72-118E449F51F7}"/>
    <hyperlink ref="D4" r:id="rId3" display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xr:uid="{D05E352A-32E0-454B-8E45-6492463C5C92}"/>
    <hyperlink ref="D13" r:id="rId4" display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xr:uid="{EB6043E5-4B32-4D6C-BC9E-20890599B6BD}"/>
    <hyperlink ref="D16" r:id="rId5" xr:uid="{802C48E3-88AC-44C6-A929-1907B01DE4F5}"/>
    <hyperlink ref="D5" r:id="rId6" display="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" xr:uid="{542A7F55-6721-4713-BC22-474CEFBF40C8}"/>
    <hyperlink ref="D7" r:id="rId7" display="https://item.taobao.com/item.htm?abbucket=10&amp;id=543468772547&amp;mi_id=0000_-GgDSW6L4_LTPP9kotaEg9vyIlfmTnGg8-0Spq3Jwo&amp;ns=1&amp;priceTId=2147802617763480014432373e119c&amp;skuId=4994815692417&amp;spm=a21n57.1.hoverItem.6&amp;utparam=%7B%22aplus_abtest%22%3A%22bd6ee00ff308412156afeb77df62c2b0%22%7D&amp;xxc=taobaoSearch" xr:uid="{607D045F-4E16-427E-BCA7-B47010FFA3AA}"/>
    <hyperlink ref="D8" r:id="rId8" display="https://item.taobao.com/item.htm?abbucket=10&amp;id=616950740381&amp;mi_id=0000NtbZaHNR8Mb_heQf8gsWTfJw1y7Hi8tCRunUWRVfNb0&amp;ns=1&amp;priceTId=2147802617763480336914851e119c&amp;skuId=5265463260877&amp;spm=a21n57.1.hoverItem.6&amp;utparam=%7B%22aplus_abtest%22%3A%2230515093653efa886adedcf742a386a8%22%7D&amp;xxc=taobaoSearch" xr:uid="{6EAB71DB-C917-4A15-A533-E32A9CE25C18}"/>
    <hyperlink ref="D10" r:id="rId9" display="https://detail.tmall.com/item.htm?abbucket=10&amp;id=695092390480&amp;mi_id=0000YqUlo57ic_f6JmYSS6Zf8yvh9s5VbIHefqQprBId0Sg&amp;ns=1&amp;priceTId=2147818917763482452467790e11e9&amp;spm=a21n57.1.hoverItem.4&amp;utparam=%7B%22aplus_abtest%22%3A%2209a047933c2cd522e18c498d10f4d7bb%22%7D&amp;xxc=taobaoSearch" xr:uid="{B34792ED-9D5E-4824-96D9-58207FD11BE8}"/>
    <hyperlink ref="D11" r:id="rId10" display="https://detail.tmall.com/item.htm?ali_refid=a3_430582_1006%3A1109983619%3AH%3ALVy2v9LMI01eVWGIyVzorQ%3D%3D%3A565150413814435a733dabd6304e202e&amp;ali_trackid=318_565150413814435a733dabd6304e202e&amp;id=41286408463&amp;mi_id=0000ZBLQ_xnbrNFW7k9sEHJHZfC42zTnUV1nd12D5KY1xro&amp;mm_sceneid=0_0_98938874_0&amp;priceTId=2147839517763483167175194e120f&amp;spm=a21n57.1.hoverItem.1&amp;utparam=%7B%22aplus_abtest%22%3A%2291ddb640e0ff36619ba6fb268901b28d%22%7D&amp;xxc=ad_ztc" xr:uid="{6101A240-D493-457E-92F7-ACAC9B9D9F74}"/>
    <hyperlink ref="D12" r:id="rId11" display="https://detail.tmall.com/item.htm?ali_refid=a3_430582_1006%3A1104520036%3AN%3AH%2FyD9ppkTqDtI4vK6pvZww%3D%3D%3A1ba77a8ce849520c02746933e2063bc3&amp;ali_trackid=1_1ba77a8ce849520c02746933e2063bc3&amp;id=13700799942&amp;mi_id=0000c02HaqkJvuBdtgNx843cl_1-LFWux6g11O_6oDdVwD4&amp;mm_sceneid=1_0_28706210_0&amp;priceTId=2147831417763483492102932e129e&amp;skuId=3453209150988&amp;spm=a21n57.1.hoverItem.1&amp;utparam=%7B%22aplus_abtest%22%3A%22e1725c82bfeeda49109fdb6975849636%22%7D&amp;xxc=ad_ztc" xr:uid="{D008514B-5547-4F27-AE01-33BA1DBF9AB4}"/>
    <hyperlink ref="D6" r:id="rId12" xr:uid="{8C09E767-706B-457F-8F75-BB2DE9B2D417}"/>
  </hyperlinks>
  <pageMargins left="0.75" right="0.75" top="1" bottom="1" header="0.51180555555555596" footer="0.51180555555555596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2026-04-17T14:29:30Z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