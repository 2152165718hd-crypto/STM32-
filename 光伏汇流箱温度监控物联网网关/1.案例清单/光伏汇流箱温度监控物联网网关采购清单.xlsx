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4.20\光伏汇流箱温度监控物联网网关\1.案例清单\"/>
    </mc:Choice>
  </mc:AlternateContent>
  <xr:revisionPtr revIDLastSave="0" documentId="13_ncr:1_{A25956D6-94F3-415D-9571-8A7A89D69BB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0" i="1" l="1"/>
  <c r="N10" i="1"/>
  <c r="O9" i="1"/>
  <c r="N9" i="1"/>
  <c r="O11" i="1"/>
  <c r="N11" i="1"/>
  <c r="N6" i="1"/>
  <c r="N7" i="1"/>
  <c r="N8" i="1"/>
  <c r="N12" i="1"/>
  <c r="N13" i="1"/>
  <c r="N5" i="1"/>
  <c r="O5" i="1"/>
  <c r="O6" i="1"/>
  <c r="O7" i="1"/>
  <c r="O8" i="1"/>
  <c r="O12" i="1"/>
  <c r="O4" i="1"/>
  <c r="N4" i="1"/>
  <c r="O13" i="1"/>
  <c r="O14" i="1"/>
  <c r="O15" i="1"/>
  <c r="O16" i="1"/>
  <c r="O17" i="1"/>
  <c r="O18" i="1"/>
  <c r="O19" i="1"/>
  <c r="O3" i="1"/>
  <c r="N14" i="1"/>
  <c r="N15" i="1"/>
  <c r="N16" i="1"/>
  <c r="N17" i="1"/>
  <c r="N18" i="1"/>
  <c r="N19" i="1"/>
  <c r="N3" i="1"/>
  <c r="B20" i="1" l="1"/>
</calcChain>
</file>

<file path=xl/sharedStrings.xml><?xml version="1.0" encoding="utf-8"?>
<sst xmlns="http://schemas.openxmlformats.org/spreadsheetml/2006/main" count="42" uniqueCount="42">
  <si>
    <t>型号</t>
  </si>
  <si>
    <t>链接</t>
  </si>
  <si>
    <t>单价</t>
  </si>
  <si>
    <t>数量</t>
  </si>
  <si>
    <t>单价总价</t>
  </si>
  <si>
    <t>备注</t>
  </si>
  <si>
    <t>总计</t>
  </si>
  <si>
    <t>STM32F103C8T6核心开发板</t>
  </si>
  <si>
    <t>0.96寸白色OLED模块</t>
  </si>
  <si>
    <t>https://item.taobao.com/item.htm?from=cart&amp;id=522574797086&amp;mi_id=0000uY8Qjpfx8oMO_EeqWecxw19OlW6_UEmLNw9oWhO885k&amp;spm=a1z0d.6639537%2F202410.item.d522574797086.105e7484dKrRqu&amp;upStreamPrice=22</t>
  </si>
  <si>
    <t>PCB打板</t>
  </si>
  <si>
    <t>嘉立创PCB打板</t>
  </si>
  <si>
    <t>按键</t>
  </si>
  <si>
    <t>https://item.taobao.com/item.htm?abbucket=18&amp;id=909381113639&amp;mi_id=0000cbAWrw9XksqZMst2juap88pG4Csb8y8YeCtGDw3Thhg&amp;ns=1&amp;skuId=5769812572738&amp;spm=a21n57.1.hoverItem.1&amp;utparam=%7B%22aplus_abtest%22%3A%2214c3afc691c00c7b6c58c8cbf396c904%22%7D&amp;xxc=taobaoSearch</t>
  </si>
  <si>
    <t>排母</t>
  </si>
  <si>
    <t>https://item.taobao.com/item.htm?abbucket=18&amp;id=522579376259&amp;mi_id=0000vhsbTI0e7o27yKg1NV_JRid7g3LUcyC7UkRxcKYs3bk&amp;ns=1&amp;priceTId=2100c89317705595314493892e0cd6&amp;skuId=6139961763384&amp;spm=a21n57.1.hoverItem.3&amp;utparam=%7B%22aplus_abtest%22%3A%223ebd0dc08990383815ba025455d850ec%22%7D&amp;xxc=taobaoSearch</t>
  </si>
  <si>
    <t>LED灯</t>
  </si>
  <si>
    <t>https://detail.tmall.com/item.htm?abbucket=18&amp;id=14525748552&amp;mi_id=0000cIqmZPW3UhO2SgSu4SvQhVd-BOgfR1k2_ccWUSjXmqI&amp;ns=1&amp;priceTId=2100c88c17705592388074352e0cdb&amp;skuId=5008703721553&amp;spm=a21n57.1.hoverItem.2&amp;utparam=%7B%22aplus_abtest%22%3A%22029042e9ddf1e80f170923cab86e073a%22%7D&amp;xxc=taobaoSearch</t>
  </si>
  <si>
    <t>限流电阻</t>
  </si>
  <si>
    <t>https://item.taobao.com/item.htm?abbucket=18&amp;id=868078782830&amp;mi_id=0000VyCMLmQwJ0_V1JDY1xd337eiB6udFX7p5rARjdBIBwI&amp;ns=1&amp;priceTId=2100c88c17705591285078668e0cdb&amp;skuId=5695230832709&amp;spm=a21n57.1.hoverItem.3&amp;utparam=%7B%22aplus_abtest%22%3A%222655e95b4e6c3d4bbd15ff18a2bc3fb5%22%7D&amp;xxc=taobaoSearch</t>
  </si>
  <si>
    <t>采购清单</t>
  </si>
  <si>
    <t>排针</t>
  </si>
  <si>
    <t>https://detail.tmall.com/item.htm?abbucket=10&amp;id=863604223100&amp;mi_id=0000iCNn3cxwSLzm6X4ovXKH5Bzl19Qkqvyx-Ea-B09ICH8&amp;ns=1&amp;priceTId=213e028617766855582808323e10d6&amp;skuId=5694374352054&amp;spm=a21n57.1.hoverItem.4&amp;utparam=%7B%22aplus_abtest%22%3A%22c6b2bf3e1495530f6f52ebdc3eded8dc%22%7D&amp;xxc=taobaoSearch</t>
  </si>
  <si>
    <t>https://item.taobao.com/item.htm?abbucket=10&amp;id=679254977112&amp;mi_id=00005phhECRS2Hm0SPT4AygJTwTvnghzFqdOZHalU0ICiKQ&amp;ns=1&amp;priceTId=213e028617766856242356048e10d6&amp;skuId=4875104745168&amp;spm=a21n57.1.hoverItem.2&amp;utparam=%7B%22aplus_abtest%22%3A%223089ad7c20dbbec3625e189f75ca88cf%22%7D&amp;xxc=taobaoSearch</t>
  </si>
  <si>
    <t>锡丝</t>
  </si>
  <si>
    <t>https://detail.tmall.com/item.htm?abbucket=10&amp;id=812251844151&amp;mi_id=0000_AfzIrfzpvJKPRxRw7qLITHMlzMPlTRWOmS76AhiqwQ&amp;ns=1&amp;priceTId=213e028617766856998055236e10d6&amp;skuId=5591088640273&amp;spm=a21n57.1.hoverItem.2&amp;utparam=%7B%22aplus_abtest%22%3A%22bfba70a09197e8b2b6a7b43bc241d8b1%22%7D&amp;xxc=taobaoSearch</t>
  </si>
  <si>
    <t>温度传感器检测</t>
  </si>
  <si>
    <t>Zigbee无线通信模块</t>
  </si>
  <si>
    <t>蜂鸣器报警</t>
  </si>
  <si>
    <t>4G模块</t>
  </si>
  <si>
    <t>AC-DC模块</t>
  </si>
  <si>
    <t>220v供电线</t>
  </si>
  <si>
    <t>https://item.taobao.com/item.htm?abbucket=10&amp;id=730243629516&amp;mi_id=0000Lme2Nx4amgDb7NxxEPiUbI6d0Ooyke7-gcrpMkAFXK8&amp;ns=1&amp;priceTId=2147802517772125522682252e1c29&amp;skuId=5062860261486&amp;spm=a21n57.1.hoverItem.2&amp;utparam=%7B%22aplus_abtest%22%3A%22659512e86c7fbb362822e4c0acb907e2%22%7D&amp;xxc=taobaoSearch</t>
  </si>
  <si>
    <t>https://detail.tmall.com/item.htm?abbucket=10&amp;id=597773741262&amp;mi_id=0000lC1H0Agxm--7vDC-BGp-RU3P8GGcAI-7ejIz0zW4kpM&amp;ns=1&amp;priceTId=2147802517772127207461071e1c29&amp;spm=a21n57.1.hoverItem.3&amp;utparam=%7B%22aplus_abtest%22%3A%222d6160d7bb320f55a3938589d2601c11%22%7D&amp;xxc=taobaoSearch&amp;skuId=5099833810424</t>
  </si>
  <si>
    <t>https://detail.tmall.com/item.htm?abbucket=10&amp;id=649962540067&amp;mi_id=0000KWnd8wUvMeckH6zIaiOHZq578A2qZulZarljD7NdU34&amp;ns=1&amp;priceTId=2147802517772131073586509e1c29&amp;skuId=4861419570501&amp;spm=a21n57.1.hoverItem.23&amp;utparam=%7B%22aplus_abtest%22%3A%22c035801b7d43b19bc80733f36752cfdf%22%7D&amp;xxc=taobaoSearch</t>
  </si>
  <si>
    <t>https://detail.tmall.com/item.htm?ali_refid=a3_430582_1006%3A1235000100%3AH%3AX3e4lpooeDv7BtcnmK6vdXahdFvQYGOd%3Abf03d4c48f948f93a19d740ccac0ddb8&amp;ali_trackid=282_bf03d4c48f948f93a19d740ccac0ddb8&amp;id=655689381494&amp;mi_id=0000GjyzHLgpx83H6nF0CRBPmc0qCU-oHsTBa2j21je4fEQ&amp;mm_sceneid=1_0_463550171_0&amp;priceTId=2147802517772131449291113e1c29&amp;skuId=5675242355541&amp;spm=a21n57.1.hoverItem.1&amp;utparam=%7B%22aplus_abtest%22%3A%22e0631aa2aeff078212d13176302f3e84%22%7D&amp;xxc=ad_ztc</t>
  </si>
  <si>
    <t>https://detail.tmall.com/item.htm?abbucket=10&amp;id=21124132861&amp;mi_id=0000Op2RoGHW13Juv7sLNvrOwZPrxVgstgs8CUpGcz1wW8k&amp;ns=1&amp;priceTId=2147802517772132570242017e1c29&amp;skuId=4319138558996&amp;spm=a21n57.1.hoverItem.4&amp;utparam=%7B%22aplus_abtest%22%3A%225ae2f4fe2f3997218f7df6342934f13e%22%7D&amp;xxc=taobaoSearch</t>
  </si>
  <si>
    <t>https://detail.tmall.com/item.htm?ali_refid=a3_430582_1006%3A1682415207%3AH%3AmAPJCe7ZFabGTuYQ0xBY0g%3D%3D%3A8c6325d620626d4e8444a0a80a0081c8&amp;ali_trackid=282_8c6325d620626d4e8444a0a80a0081c8&amp;id=743505157170&amp;mi_id=00002UWZbG4NS5KcgAIBMAqbHZsbTZzsGnPIMubFeb5Rgrc&amp;mm_sceneid=1_0_4716808481_0&amp;priceTId=2147802517772133304336860e1c29&amp;skuId=5126083612620&amp;spm=a21n57.1.hoverItem.1&amp;utparam=%7B%22aplus_abtest%22%3A%22831c3608be1f3b187a6776b2fe5c5241%22%7D&amp;xxc=ad_ztc</t>
  </si>
  <si>
    <t>光照度传感器光照强度监测工业级RS485</t>
  </si>
  <si>
    <t>RS485 模块（TTL 转 485）</t>
  </si>
  <si>
    <t>https://item.taobao.com/item.htm?abbucket=10&amp;id=966486255427&amp;mi_id=00002GHBMO-aAelyt1HQEIP-F6xacVNFff-CCLeCvgSGhxk&amp;ns=1&amp;priceTId=2147802517772134892153232e1c29&amp;skuId=6079632398760&amp;spm=a21n57.1.hoverItem.2&amp;utparam=%7B%22aplus_abtest%22%3A%220502cf5fe21204587a354445bdcc160e%22%7D&amp;xxc=taobaoSearch</t>
  </si>
  <si>
    <t>https://item.taobao.com/item.htm?abbucket=10&amp;id=840935587861&amp;mi_id=0000uhb3sPlLswEn622cMA87MzuhQ_-zOyJIl_24LF1x8aQ&amp;ns=1&amp;skuId=5608951636016&amp;spm=a21n57.1.hoverItem.10&amp;utparam=%7B%22aplus_abtest%22%3A%22c644175107cf6f17d8ca755db99324d0%22%7D&amp;xxc=taobao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</si>
</sst>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name val="宋体"/>
    </font>
    <font>
      <b/>
      <sz val="16"/>
      <name val="serif"/>
    </font>
    <font>
      <b/>
      <sz val="11"/>
      <color rgb="FF000000"/>
      <name val="serif"/>
      <family val="2"/>
    </font>
    <font>
      <b/>
      <sz val="11"/>
      <name val="serif"/>
    </font>
    <font>
      <sz val="10"/>
      <color rgb="FF000000"/>
      <name val="serif"/>
      <family val="2"/>
    </font>
    <font>
      <sz val="10"/>
      <name val="serif"/>
    </font>
    <font>
      <u/>
      <sz val="11"/>
      <color indexed="4"/>
      <name val="宋体"/>
      <family val="3"/>
      <charset val="134"/>
    </font>
    <font>
      <u/>
      <sz val="11"/>
      <color theme="10"/>
      <name val="宋体"/>
      <family val="3"/>
      <charset val="134"/>
    </font>
    <font>
      <sz val="9"/>
      <name val="宋体"/>
      <family val="3"/>
      <charset val="134"/>
    </font>
    <font>
      <b/>
      <sz val="16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1">
      <alignment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0" borderId="1" xfId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0" xfId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7"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left/>
        <right/>
        <top style="double">
          <color rgb="FF5B9BD5"/>
        </top>
        <bottom/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rgb="FF9BC2E6"/>
        </horizontal>
      </border>
    </dxf>
  </dxfs>
  <tableStyles count="1" defaultTableStyle="TableStylePreset3_Accent1">
    <tableStyle name="TableStylePreset3_Accent1" count="7" xr9:uid="{00000000-0011-0000-FFFF-FFFF00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tail.tmall.com/item.htm?abbucket=10&amp;id=812251844151&amp;mi_id=0000_AfzIrfzpvJKPRxRw7qLITHMlzMPlTRWOmS76AhiqwQ&amp;ns=1&amp;priceTId=213e028617766856998055236e10d6&amp;skuId=5591088640273&amp;spm=a21n57.1.hoverItem.2&amp;utparam=%7B%22aplus_abtest%22%3A%22bfba70a09197e8b2b6a7b43bc241d8b1%22%7D&amp;xxc=taobaoSearch" TargetMode="External"/><Relationship Id="rId13" Type="http://schemas.openxmlformats.org/officeDocument/2006/relationships/hyperlink" Target="https://detail.tmall.com/item.htm?abbucket=10&amp;id=21124132861&amp;mi_id=0000Op2RoGHW13Juv7sLNvrOwZPrxVgstgs8CUpGcz1wW8k&amp;ns=1&amp;priceTId=2147802517772132570242017e1c29&amp;skuId=4319138558996&amp;spm=a21n57.1.hoverItem.4&amp;utparam=%7B%22aplus_abtest%22%3A%225ae2f4fe2f3997218f7df6342934f13e%22%7D&amp;xxc=taobaoSearch" TargetMode="External"/><Relationship Id="rId3" Type="http://schemas.openxmlformats.org/officeDocument/2006/relationships/hyperlink" Target="https://item.taobao.com/item.htm?abbucket=18&amp;id=522579376259&amp;mi_id=0000vhsbTI0e7o27yKg1NV_JRid7g3LUcyC7UkRxcKYs3bk&amp;ns=1&amp;priceTId=2100c89317705595314493892e0cd6&amp;skuId=6139961763384&amp;spm=a21n57.1.hoverItem.3&amp;utparam=%7B%22aplus_abtest%22%3A%223ebd0dc08990383815ba025455d850ec%22%7D&amp;xxc=taobaoSearch" TargetMode="External"/><Relationship Id="rId7" Type="http://schemas.openxmlformats.org/officeDocument/2006/relationships/hyperlink" Target="https://item.taobao.com/item.htm?abbucket=10&amp;id=679254977112&amp;mi_id=00005phhECRS2Hm0SPT4AygJTwTvnghzFqdOZHalU0ICiKQ&amp;ns=1&amp;priceTId=213e028617766856242356048e10d6&amp;skuId=4875104745168&amp;spm=a21n57.1.hoverItem.2&amp;utparam=%7B%22aplus_abtest%22%3A%223089ad7c20dbbec3625e189f75ca88cf%22%7D&amp;xxc=taobaoSearch" TargetMode="External"/><Relationship Id="rId12" Type="http://schemas.openxmlformats.org/officeDocument/2006/relationships/hyperlink" Target="https://detail.tmall.com/item.htm?ali_refid=a3_430582_1006%3A1235000100%3AH%3AX3e4lpooeDv7BtcnmK6vdXahdFvQYGOd%3Abf03d4c48f948f93a19d740ccac0ddb8&amp;ali_trackid=282_bf03d4c48f948f93a19d740ccac0ddb8&amp;id=655689381494&amp;mi_id=0000GjyzHLgpx83H6nF0CRBPmc0qCU-oHsTBa2j21je4fEQ&amp;mm_sceneid=1_0_463550171_0&amp;priceTId=2147802517772131449291113e1c29&amp;skuId=5675242355541&amp;spm=a21n57.1.hoverItem.1&amp;utparam=%7B%22aplus_abtest%22%3A%22e0631aa2aeff078212d13176302f3e84%22%7D&amp;xxc=ad_ztc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item.taobao.com/item.htm?abbucket=18&amp;id=909381113639&amp;mi_id=0000cbAWrw9XksqZMst2juap88pG4Csb8y8YeCtGDw3Thhg&amp;ns=1&amp;skuId=5769812572738&amp;spm=a21n57.1.hoverItem.1&amp;utparam=%7B%22aplus_abtest%22%3A%2214c3afc691c00c7b6c58c8cbf396c904%22%7D&amp;xxc=taobaoSearch" TargetMode="External"/><Relationship Id="rId16" Type="http://schemas.openxmlformats.org/officeDocument/2006/relationships/hyperlink" Target="https://item.taobao.com/item.htm?abbucket=10&amp;id=966486255427&amp;mi_id=00002GHBMO-aAelyt1HQEIP-F6xacVNFff-CCLeCvgSGhxk&amp;ns=1&amp;priceTId=2147802517772134892153232e1c29&amp;skuId=6079632398760&amp;spm=a21n57.1.hoverItem.2&amp;utparam=%7B%22aplus_abtest%22%3A%220502cf5fe21204587a354445bdcc160e%22%7D&amp;xxc=taobaoSearch" TargetMode="External"/><Relationship Id="rId1" Type="http://schemas.openxmlformats.org/officeDocument/2006/relationships/hyperlink" Target="https://item.taobao.com/item.htm?from=cart&amp;id=522574797086&amp;mi_id=0000uY8Qjpfx8oMO_EeqWecxw19OlW6_UEmLNw9oWhO885k&amp;spm=a1z0d.6639537%2F202410.item.d522574797086.105e7484dKrRqu&amp;upStreamPrice=22" TargetMode="External"/><Relationship Id="rId6" Type="http://schemas.openxmlformats.org/officeDocument/2006/relationships/hyperlink" Target="https://detail.tmall.com/item.htm?abbucket=10&amp;id=863604223100&amp;mi_id=0000iCNn3cxwSLzm6X4ovXKH5Bzl19Qkqvyx-Ea-B09ICH8&amp;ns=1&amp;priceTId=213e028617766855582808323e10d6&amp;skuId=5694374352054&amp;spm=a21n57.1.hoverItem.4&amp;utparam=%7B%22aplus_abtest%22%3A%22c6b2bf3e1495530f6f52ebdc3eded8dc%22%7D&amp;xxc=taobaoSearch" TargetMode="External"/><Relationship Id="rId11" Type="http://schemas.openxmlformats.org/officeDocument/2006/relationships/hyperlink" Target="https://detail.tmall.com/item.htm?abbucket=10&amp;id=649962540067&amp;mi_id=0000KWnd8wUvMeckH6zIaiOHZq578A2qZulZarljD7NdU34&amp;ns=1&amp;priceTId=2147802517772131073586509e1c29&amp;skuId=4861419570501&amp;spm=a21n57.1.hoverItem.23&amp;utparam=%7B%22aplus_abtest%22%3A%22c035801b7d43b19bc80733f36752cfdf%22%7D&amp;xxc=taobaoSearch" TargetMode="External"/><Relationship Id="rId5" Type="http://schemas.openxmlformats.org/officeDocument/2006/relationships/hyperlink" Target="https://item.taobao.com/item.htm?abbucket=18&amp;id=868078782830&amp;mi_id=0000VyCMLmQwJ0_V1JDY1xd337eiB6udFX7p5rARjdBIBwI&amp;ns=1&amp;priceTId=2100c88c17705591285078668e0cdb&amp;skuId=5695230832709&amp;spm=a21n57.1.hoverItem.3&amp;utparam=%7B%22aplus_abtest%22%3A%222655e95b4e6c3d4bbd15ff18a2bc3fb5%22%7D&amp;xxc=taobaoSearch" TargetMode="External"/><Relationship Id="rId15" Type="http://schemas.openxmlformats.org/officeDocument/2006/relationships/hyperlink" Target="https://item.taobao.com/item.htm?abbucket=10&amp;id=730243629516&amp;mi_id=0000Lme2Nx4amgDb7NxxEPiUbI6d0Ooyke7-gcrpMkAFXK8&amp;ns=1&amp;priceTId=2147802517772125522682252e1c29&amp;skuId=5062860261486&amp;spm=a21n57.1.hoverItem.2&amp;utparam=%7B%22aplus_abtest%22%3A%22659512e86c7fbb362822e4c0acb907e2%22%7D&amp;xxc=taobaoSearch" TargetMode="External"/><Relationship Id="rId10" Type="http://schemas.openxmlformats.org/officeDocument/2006/relationships/hyperlink" Target="https://item.taobao.com/item.htm?abbucket=10&amp;id=840935587861&amp;mi_id=0000uhb3sPlLswEn622cMA87MzuhQ_-zOyJIl_24LF1x8aQ&amp;ns=1&amp;skuId=5608951636016&amp;spm=a21n57.1.hoverItem.10&amp;utparam=%7B%22aplus_abtest%22%3A%22c644175107cf6f17d8ca755db99324d0%22%7D&amp;xxc=taobaoSearch" TargetMode="External"/><Relationship Id="rId4" Type="http://schemas.openxmlformats.org/officeDocument/2006/relationships/hyperlink" Target="https://detail.tmall.com/item.htm?abbucket=18&amp;id=14525748552&amp;mi_id=0000cIqmZPW3UhO2SgSu4SvQhVd-BOgfR1k2_ccWUSjXmqI&amp;ns=1&amp;priceTId=2100c88c17705592388074352e0cdb&amp;skuId=5008703721553&amp;spm=a21n57.1.hoverItem.2&amp;utparam=%7B%22aplus_abtest%22%3A%22029042e9ddf1e80f170923cab86e073a%22%7D&amp;xxc=taobaoSearch" TargetMode="External"/><Relationship Id="rId9" Type="http://schemas.openxmlformats.org/officeDocument/2006/relationships/hyperlink" Target="https://detail.tmall.com/item.htm?abbucket=10&amp;id=597773741262&amp;mi_id=0000lC1H0Agxm--7vDC-BGp-RU3P8GGcAI-7ejIz0zW4kpM&amp;ns=1&amp;priceTId=2147802517772127207461071e1c29&amp;spm=a21n57.1.hoverItem.3&amp;utparam=%7B%22aplus_abtest%22%3A%222d6160d7bb320f55a3938589d2601c11%22%7D&amp;xxc=taobaoSearch&amp;skuId=5099833810424" TargetMode="External"/><Relationship Id="rId14" Type="http://schemas.openxmlformats.org/officeDocument/2006/relationships/hyperlink" Target="https://detail.tmall.com/item.htm?ali_refid=a3_430582_1006%3A1682415207%3AH%3AmAPJCe7ZFabGTuYQ0xBY0g%3D%3D%3A8c6325d620626d4e8444a0a80a0081c8&amp;ali_trackid=282_8c6325d620626d4e8444a0a80a0081c8&amp;id=743505157170&amp;mi_id=00002UWZbG4NS5KcgAIBMAqbHZsbTZzsGnPIMubFeb5Rgrc&amp;mm_sceneid=1_0_4716808481_0&amp;priceTId=2147802517772133304336860e1c29&amp;skuId=5126083612620&amp;spm=a21n57.1.hoverItem.1&amp;utparam=%7B%22aplus_abtest%22%3A%22831c3608be1f3b187a6776b2fe5c5241%22%7D&amp;xxc=ad_z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zoomScale="130" zoomScaleNormal="130" workbookViewId="0">
      <selection activeCell="M6" sqref="M6"/>
    </sheetView>
  </sheetViews>
  <sheetFormatPr defaultColWidth="10" defaultRowHeight="13.5"/>
  <cols>
    <col min="1" max="1" width="5.875" bestFit="1" customWidth="1"/>
    <col min="2" max="2" width="8.125" customWidth="1"/>
    <col min="3" max="3" width="6" customWidth="1"/>
    <col min="4" max="4" width="13.875" customWidth="1"/>
    <col min="5" max="5" width="14.125" customWidth="1"/>
    <col min="6" max="6" width="15.25" customWidth="1"/>
    <col min="7" max="7" width="14.75" customWidth="1"/>
    <col min="8" max="8" width="14.625" customWidth="1"/>
    <col min="9" max="9" width="14.5" customWidth="1"/>
    <col min="10" max="10" width="14.125" customWidth="1"/>
    <col min="11" max="11" width="18.25" customWidth="1"/>
    <col min="12" max="12" width="7.75" bestFit="1" customWidth="1"/>
    <col min="13" max="13" width="6.25" bestFit="1" customWidth="1"/>
    <col min="14" max="14" width="9.5" bestFit="1" customWidth="1"/>
    <col min="15" max="15" width="40.75" customWidth="1"/>
  </cols>
  <sheetData>
    <row r="1" spans="1:17" ht="20.25">
      <c r="A1" s="10" t="s">
        <v>20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7" ht="27.75" customHeight="1">
      <c r="A2" s="12" t="s">
        <v>0</v>
      </c>
      <c r="B2" s="12"/>
      <c r="C2" s="12"/>
      <c r="D2" s="12" t="s">
        <v>1</v>
      </c>
      <c r="E2" s="12"/>
      <c r="F2" s="12"/>
      <c r="G2" s="12"/>
      <c r="H2" s="12"/>
      <c r="I2" s="12"/>
      <c r="J2" s="12"/>
      <c r="K2" s="12"/>
      <c r="L2" s="1" t="s">
        <v>2</v>
      </c>
      <c r="M2" s="2" t="s">
        <v>3</v>
      </c>
      <c r="N2" s="2" t="s">
        <v>4</v>
      </c>
      <c r="O2" s="2" t="s">
        <v>5</v>
      </c>
    </row>
    <row r="3" spans="1:17" ht="26.25" customHeight="1">
      <c r="A3" s="15" t="s">
        <v>7</v>
      </c>
      <c r="B3" s="15"/>
      <c r="C3" s="15"/>
      <c r="D3" s="16" t="s">
        <v>22</v>
      </c>
      <c r="E3" s="16"/>
      <c r="F3" s="16"/>
      <c r="G3" s="16"/>
      <c r="H3" s="16"/>
      <c r="I3" s="16"/>
      <c r="J3" s="16"/>
      <c r="K3" s="16"/>
      <c r="L3" s="4">
        <v>14.9</v>
      </c>
      <c r="M3" s="4">
        <v>2</v>
      </c>
      <c r="N3" s="4">
        <f>L3*M3</f>
        <v>29.8</v>
      </c>
      <c r="O3" s="6" t="str">
        <f>A3</f>
        <v>STM32F103C8T6核心开发板</v>
      </c>
    </row>
    <row r="4" spans="1:17" ht="23.25" customHeight="1">
      <c r="A4" s="15" t="s">
        <v>8</v>
      </c>
      <c r="B4" s="15"/>
      <c r="C4" s="15"/>
      <c r="D4" s="13" t="s">
        <v>23</v>
      </c>
      <c r="E4" s="14"/>
      <c r="F4" s="14"/>
      <c r="G4" s="14"/>
      <c r="H4" s="14"/>
      <c r="I4" s="14"/>
      <c r="J4" s="14"/>
      <c r="K4" s="14"/>
      <c r="L4" s="4">
        <v>12.9</v>
      </c>
      <c r="M4" s="8">
        <v>2</v>
      </c>
      <c r="N4" s="4">
        <f t="shared" ref="N4" si="0">L4*M4</f>
        <v>25.8</v>
      </c>
      <c r="O4" s="6" t="str">
        <f t="shared" ref="O4:O12" si="1">A4</f>
        <v>0.96寸白色OLED模块</v>
      </c>
    </row>
    <row r="5" spans="1:17" ht="23.25" customHeight="1">
      <c r="A5" s="15" t="s">
        <v>26</v>
      </c>
      <c r="B5" s="15"/>
      <c r="C5" s="15"/>
      <c r="D5" s="13" t="s">
        <v>34</v>
      </c>
      <c r="E5" s="14"/>
      <c r="F5" s="14"/>
      <c r="G5" s="14"/>
      <c r="H5" s="14"/>
      <c r="I5" s="14"/>
      <c r="J5" s="14"/>
      <c r="K5" s="14"/>
      <c r="L5" s="4">
        <v>5.8</v>
      </c>
      <c r="M5" s="8">
        <v>1</v>
      </c>
      <c r="N5" s="4">
        <f>L5*M5</f>
        <v>5.8</v>
      </c>
      <c r="O5" s="6" t="str">
        <f t="shared" si="1"/>
        <v>温度传感器检测</v>
      </c>
    </row>
    <row r="6" spans="1:17" ht="23.25" customHeight="1">
      <c r="A6" s="15" t="s">
        <v>27</v>
      </c>
      <c r="B6" s="15"/>
      <c r="C6" s="15"/>
      <c r="D6" s="13" t="s">
        <v>35</v>
      </c>
      <c r="E6" s="14"/>
      <c r="F6" s="14"/>
      <c r="G6" s="14"/>
      <c r="H6" s="14"/>
      <c r="I6" s="14"/>
      <c r="J6" s="14"/>
      <c r="K6" s="14"/>
      <c r="L6" s="4">
        <v>38.15</v>
      </c>
      <c r="M6" s="8">
        <v>2</v>
      </c>
      <c r="N6" s="4">
        <f t="shared" ref="N6:N13" si="2">L6*M6</f>
        <v>76.3</v>
      </c>
      <c r="O6" s="6" t="str">
        <f t="shared" ref="O6" si="3">A6</f>
        <v>Zigbee无线通信模块</v>
      </c>
    </row>
    <row r="7" spans="1:17" ht="23.25" customHeight="1">
      <c r="A7" s="15" t="s">
        <v>28</v>
      </c>
      <c r="B7" s="15"/>
      <c r="C7" s="15"/>
      <c r="D7" s="13" t="s">
        <v>36</v>
      </c>
      <c r="E7" s="14"/>
      <c r="F7" s="14"/>
      <c r="G7" s="14"/>
      <c r="H7" s="14"/>
      <c r="I7" s="14"/>
      <c r="J7" s="14"/>
      <c r="K7" s="14"/>
      <c r="L7" s="4">
        <v>3.7</v>
      </c>
      <c r="M7" s="8">
        <v>1</v>
      </c>
      <c r="N7" s="4">
        <f t="shared" si="2"/>
        <v>3.7</v>
      </c>
      <c r="O7" s="6" t="str">
        <f t="shared" si="1"/>
        <v>蜂鸣器报警</v>
      </c>
    </row>
    <row r="8" spans="1:17" ht="23.25" customHeight="1">
      <c r="A8" s="15" t="s">
        <v>29</v>
      </c>
      <c r="B8" s="15"/>
      <c r="C8" s="15"/>
      <c r="D8" s="13" t="s">
        <v>41</v>
      </c>
      <c r="E8" s="14"/>
      <c r="F8" s="14"/>
      <c r="G8" s="14"/>
      <c r="H8" s="14"/>
      <c r="I8" s="14"/>
      <c r="J8" s="14"/>
      <c r="K8" s="14"/>
      <c r="L8" s="4">
        <v>39.549999999999997</v>
      </c>
      <c r="M8" s="8">
        <v>1</v>
      </c>
      <c r="N8" s="4">
        <f t="shared" si="2"/>
        <v>39.549999999999997</v>
      </c>
      <c r="O8" s="6" t="str">
        <f t="shared" ref="O8:O11" si="4">A8</f>
        <v>4G模块</v>
      </c>
    </row>
    <row r="9" spans="1:17" ht="23.25" customHeight="1">
      <c r="A9" s="15" t="s">
        <v>30</v>
      </c>
      <c r="B9" s="15"/>
      <c r="C9" s="15"/>
      <c r="D9" s="13" t="s">
        <v>33</v>
      </c>
      <c r="E9" s="14"/>
      <c r="F9" s="14"/>
      <c r="G9" s="14"/>
      <c r="H9" s="14"/>
      <c r="I9" s="14"/>
      <c r="J9" s="14"/>
      <c r="K9" s="14"/>
      <c r="L9" s="4">
        <v>10.199999999999999</v>
      </c>
      <c r="M9" s="9">
        <v>1</v>
      </c>
      <c r="N9" s="4">
        <f t="shared" si="2"/>
        <v>10.199999999999999</v>
      </c>
      <c r="O9" s="6" t="str">
        <f t="shared" ref="O9:O10" si="5">A9</f>
        <v>AC-DC模块</v>
      </c>
    </row>
    <row r="10" spans="1:17" ht="23.25" customHeight="1">
      <c r="A10" s="15" t="s">
        <v>31</v>
      </c>
      <c r="B10" s="15"/>
      <c r="C10" s="15"/>
      <c r="D10" s="13" t="s">
        <v>32</v>
      </c>
      <c r="E10" s="14"/>
      <c r="F10" s="14"/>
      <c r="G10" s="14"/>
      <c r="H10" s="14"/>
      <c r="I10" s="14"/>
      <c r="J10" s="14"/>
      <c r="K10" s="14"/>
      <c r="L10" s="4">
        <v>4.3</v>
      </c>
      <c r="M10" s="9">
        <v>1</v>
      </c>
      <c r="N10" s="4">
        <f t="shared" si="2"/>
        <v>4.3</v>
      </c>
      <c r="O10" s="6" t="str">
        <f t="shared" si="5"/>
        <v>220v供电线</v>
      </c>
    </row>
    <row r="11" spans="1:17" ht="23.25" customHeight="1">
      <c r="A11" s="15" t="s">
        <v>39</v>
      </c>
      <c r="B11" s="15"/>
      <c r="C11" s="15"/>
      <c r="D11" s="13" t="s">
        <v>40</v>
      </c>
      <c r="E11" s="14"/>
      <c r="F11" s="14"/>
      <c r="G11" s="14"/>
      <c r="H11" s="14"/>
      <c r="I11" s="14"/>
      <c r="J11" s="14"/>
      <c r="K11" s="14"/>
      <c r="L11" s="4">
        <v>4.84</v>
      </c>
      <c r="M11" s="9">
        <v>1</v>
      </c>
      <c r="N11" s="4">
        <f t="shared" ref="N11" si="6">L11*M11</f>
        <v>4.84</v>
      </c>
      <c r="O11" s="6" t="str">
        <f t="shared" si="4"/>
        <v>RS485 模块（TTL 转 485）</v>
      </c>
    </row>
    <row r="12" spans="1:17" ht="23.25" customHeight="1">
      <c r="A12" s="13" t="s">
        <v>38</v>
      </c>
      <c r="B12" s="15"/>
      <c r="C12" s="15"/>
      <c r="D12" s="13" t="s">
        <v>37</v>
      </c>
      <c r="E12" s="14"/>
      <c r="F12" s="14"/>
      <c r="G12" s="14"/>
      <c r="H12" s="14"/>
      <c r="I12" s="14"/>
      <c r="J12" s="14"/>
      <c r="K12" s="14"/>
      <c r="L12" s="4">
        <v>33</v>
      </c>
      <c r="M12" s="8">
        <v>1</v>
      </c>
      <c r="N12" s="4">
        <f t="shared" si="2"/>
        <v>33</v>
      </c>
      <c r="O12" s="6" t="str">
        <f t="shared" si="1"/>
        <v>光照度传感器光照强度监测工业级RS485</v>
      </c>
    </row>
    <row r="13" spans="1:17" ht="23.25" customHeight="1">
      <c r="A13" s="15" t="s">
        <v>24</v>
      </c>
      <c r="B13" s="15"/>
      <c r="C13" s="15"/>
      <c r="D13" s="13" t="s">
        <v>25</v>
      </c>
      <c r="E13" s="14"/>
      <c r="F13" s="14"/>
      <c r="G13" s="14"/>
      <c r="H13" s="14"/>
      <c r="I13" s="14"/>
      <c r="J13" s="14"/>
      <c r="K13" s="14"/>
      <c r="L13" s="4">
        <v>5.9</v>
      </c>
      <c r="M13" s="3">
        <v>1</v>
      </c>
      <c r="N13" s="4">
        <f t="shared" si="2"/>
        <v>5.9</v>
      </c>
      <c r="O13" s="6" t="str">
        <f t="shared" ref="O13:O19" si="7">A13</f>
        <v>锡丝</v>
      </c>
    </row>
    <row r="14" spans="1:17" ht="24.75" customHeight="1">
      <c r="A14" s="17" t="s">
        <v>21</v>
      </c>
      <c r="B14" s="17"/>
      <c r="C14" s="17"/>
      <c r="D14" s="13" t="s">
        <v>9</v>
      </c>
      <c r="E14" s="14"/>
      <c r="F14" s="14"/>
      <c r="G14" s="14"/>
      <c r="H14" s="14"/>
      <c r="I14" s="14"/>
      <c r="J14" s="14"/>
      <c r="K14" s="14"/>
      <c r="L14" s="4">
        <v>3.1</v>
      </c>
      <c r="M14" s="4">
        <v>1</v>
      </c>
      <c r="N14" s="4">
        <f t="shared" ref="N14:N19" si="8">L14*M14</f>
        <v>3.1</v>
      </c>
      <c r="O14" s="6" t="str">
        <f t="shared" si="7"/>
        <v>排针</v>
      </c>
    </row>
    <row r="15" spans="1:17" ht="24.75" customHeight="1">
      <c r="A15" s="17" t="s">
        <v>14</v>
      </c>
      <c r="B15" s="17"/>
      <c r="C15" s="17"/>
      <c r="D15" s="13" t="s">
        <v>15</v>
      </c>
      <c r="E15" s="14"/>
      <c r="F15" s="14"/>
      <c r="G15" s="14"/>
      <c r="H15" s="14"/>
      <c r="I15" s="14"/>
      <c r="J15" s="14"/>
      <c r="K15" s="14"/>
      <c r="L15" s="4">
        <v>4</v>
      </c>
      <c r="M15" s="4">
        <v>1</v>
      </c>
      <c r="N15" s="4">
        <f t="shared" si="8"/>
        <v>4</v>
      </c>
      <c r="O15" s="6" t="str">
        <f t="shared" si="7"/>
        <v>排母</v>
      </c>
      <c r="P15" s="4"/>
      <c r="Q15" s="4"/>
    </row>
    <row r="16" spans="1:17" ht="24.75" customHeight="1">
      <c r="A16" s="17" t="s">
        <v>16</v>
      </c>
      <c r="B16" s="17"/>
      <c r="C16" s="17"/>
      <c r="D16" s="13" t="s">
        <v>17</v>
      </c>
      <c r="E16" s="14"/>
      <c r="F16" s="14"/>
      <c r="G16" s="14"/>
      <c r="H16" s="14"/>
      <c r="I16" s="14"/>
      <c r="J16" s="14"/>
      <c r="K16" s="14"/>
      <c r="L16" s="4">
        <v>3.52</v>
      </c>
      <c r="M16" s="4">
        <v>1</v>
      </c>
      <c r="N16" s="4">
        <f t="shared" si="8"/>
        <v>3.52</v>
      </c>
      <c r="O16" s="6" t="str">
        <f t="shared" si="7"/>
        <v>LED灯</v>
      </c>
      <c r="P16" s="4"/>
      <c r="Q16" s="4"/>
    </row>
    <row r="17" spans="1:17" ht="24.75" customHeight="1">
      <c r="A17" s="17" t="s">
        <v>18</v>
      </c>
      <c r="B17" s="17"/>
      <c r="C17" s="17"/>
      <c r="D17" s="13" t="s">
        <v>19</v>
      </c>
      <c r="E17" s="14"/>
      <c r="F17" s="14"/>
      <c r="G17" s="14"/>
      <c r="H17" s="14"/>
      <c r="I17" s="14"/>
      <c r="J17" s="14"/>
      <c r="K17" s="14"/>
      <c r="L17" s="4">
        <v>2.2000000000000002</v>
      </c>
      <c r="M17" s="4">
        <v>1</v>
      </c>
      <c r="N17" s="4">
        <f t="shared" si="8"/>
        <v>2.2000000000000002</v>
      </c>
      <c r="O17" s="6" t="str">
        <f t="shared" si="7"/>
        <v>限流电阻</v>
      </c>
      <c r="P17" s="4"/>
      <c r="Q17" s="4"/>
    </row>
    <row r="18" spans="1:17" ht="23.45" customHeight="1">
      <c r="A18" s="17" t="s">
        <v>12</v>
      </c>
      <c r="B18" s="17"/>
      <c r="C18" s="17"/>
      <c r="D18" s="13" t="s">
        <v>13</v>
      </c>
      <c r="E18" s="14"/>
      <c r="F18" s="14"/>
      <c r="G18" s="14"/>
      <c r="H18" s="14"/>
      <c r="I18" s="14"/>
      <c r="J18" s="14"/>
      <c r="K18" s="14"/>
      <c r="L18" s="4">
        <v>3.8</v>
      </c>
      <c r="M18" s="4">
        <v>1</v>
      </c>
      <c r="N18" s="4">
        <f t="shared" si="8"/>
        <v>3.8</v>
      </c>
      <c r="O18" s="6" t="str">
        <f t="shared" si="7"/>
        <v>按键</v>
      </c>
    </row>
    <row r="19" spans="1:17" ht="24.75" customHeight="1">
      <c r="A19" s="17" t="s">
        <v>10</v>
      </c>
      <c r="B19" s="17"/>
      <c r="C19" s="17"/>
      <c r="D19" s="13" t="s">
        <v>11</v>
      </c>
      <c r="E19" s="14"/>
      <c r="F19" s="14"/>
      <c r="G19" s="14"/>
      <c r="H19" s="14"/>
      <c r="I19" s="14"/>
      <c r="J19" s="14"/>
      <c r="K19" s="14"/>
      <c r="L19" s="4">
        <v>20</v>
      </c>
      <c r="M19" s="4">
        <v>1</v>
      </c>
      <c r="N19" s="4">
        <f t="shared" si="8"/>
        <v>20</v>
      </c>
      <c r="O19" s="6" t="str">
        <f t="shared" si="7"/>
        <v>PCB打板</v>
      </c>
    </row>
    <row r="20" spans="1:17" ht="23.25" customHeight="1">
      <c r="A20" s="7" t="s">
        <v>6</v>
      </c>
      <c r="B20" s="18">
        <f>SUM(N3:N19)</f>
        <v>275.81</v>
      </c>
      <c r="C20" s="18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3" spans="1:17" ht="14.1" customHeight="1">
      <c r="H23" s="5"/>
    </row>
  </sheetData>
  <mergeCells count="38">
    <mergeCell ref="A14:C14"/>
    <mergeCell ref="D14:K14"/>
    <mergeCell ref="A4:C4"/>
    <mergeCell ref="D4:K4"/>
    <mergeCell ref="A8:C8"/>
    <mergeCell ref="D8:K8"/>
    <mergeCell ref="A7:C7"/>
    <mergeCell ref="D7:K7"/>
    <mergeCell ref="A6:C6"/>
    <mergeCell ref="D6:K6"/>
    <mergeCell ref="A5:C5"/>
    <mergeCell ref="D5:K5"/>
    <mergeCell ref="B20:C20"/>
    <mergeCell ref="A18:C18"/>
    <mergeCell ref="D18:K18"/>
    <mergeCell ref="A19:C19"/>
    <mergeCell ref="D19:K19"/>
    <mergeCell ref="A16:C16"/>
    <mergeCell ref="D16:K16"/>
    <mergeCell ref="A17:C17"/>
    <mergeCell ref="A15:C15"/>
    <mergeCell ref="D15:K15"/>
    <mergeCell ref="A1:O1"/>
    <mergeCell ref="D2:K2"/>
    <mergeCell ref="A2:C2"/>
    <mergeCell ref="D17:K17"/>
    <mergeCell ref="A3:C3"/>
    <mergeCell ref="D3:K3"/>
    <mergeCell ref="A13:C13"/>
    <mergeCell ref="D13:K13"/>
    <mergeCell ref="A12:C12"/>
    <mergeCell ref="D12:K12"/>
    <mergeCell ref="A11:C11"/>
    <mergeCell ref="D11:K11"/>
    <mergeCell ref="A9:C9"/>
    <mergeCell ref="D9:K9"/>
    <mergeCell ref="A10:C10"/>
    <mergeCell ref="D10:K10"/>
  </mergeCells>
  <phoneticPr fontId="8" type="noConversion"/>
  <hyperlinks>
    <hyperlink ref="D14" r:id="rId1" xr:uid="{E1C99CC8-A812-4496-AFD3-515560C6D72E}"/>
    <hyperlink ref="D18" r:id="rId2" xr:uid="{886AD18D-C573-49BF-8996-BBCAEF34F805}"/>
    <hyperlink ref="D15" r:id="rId3" display="https://item.taobao.com/item.htm?abbucket=18&amp;id=522579376259&amp;mi_id=0000vhsbTI0e7o27yKg1NV_JRid7g3LUcyC7UkRxcKYs3bk&amp;ns=1&amp;priceTId=2100c89317705595314493892e0cd6&amp;skuId=6139961763384&amp;spm=a21n57.1.hoverItem.3&amp;utparam=%7B%22aplus_abtest%22%3A%223ebd0dc08990383815ba025455d850ec%22%7D&amp;xxc=taobaoSearch" xr:uid="{11A7B6AF-40D4-4669-A23A-6DC8FEC0EFBD}"/>
    <hyperlink ref="D16" r:id="rId4" display="https://detail.tmall.com/item.htm?abbucket=18&amp;id=14525748552&amp;mi_id=0000cIqmZPW3UhO2SgSu4SvQhVd-BOgfR1k2_ccWUSjXmqI&amp;ns=1&amp;priceTId=2100c88c17705592388074352e0cdb&amp;skuId=5008703721553&amp;spm=a21n57.1.hoverItem.2&amp;utparam=%7B%22aplus_abtest%22%3A%22029042e9ddf1e80f170923cab86e073a%22%7D&amp;xxc=taobaoSearch" xr:uid="{0A418541-0F85-431B-BA6C-1D0D620128E0}"/>
    <hyperlink ref="D17" r:id="rId5" display="https://item.taobao.com/item.htm?abbucket=18&amp;id=868078782830&amp;mi_id=0000VyCMLmQwJ0_V1JDY1xd337eiB6udFX7p5rARjdBIBwI&amp;ns=1&amp;priceTId=2100c88c17705591285078668e0cdb&amp;skuId=5695230832709&amp;spm=a21n57.1.hoverItem.3&amp;utparam=%7B%22aplus_abtest%22%3A%222655e95b4e6c3d4bbd15ff18a2bc3fb5%22%7D&amp;xxc=taobaoSearch" xr:uid="{73E17930-AFD1-4129-BE72-118E449F51F7}"/>
    <hyperlink ref="D3" r:id="rId6" display="https://detail.tmall.com/item.htm?abbucket=10&amp;id=863604223100&amp;mi_id=0000iCNn3cxwSLzm6X4ovXKH5Bzl19Qkqvyx-Ea-B09ICH8&amp;ns=1&amp;priceTId=213e028617766855582808323e10d6&amp;skuId=5694374352054&amp;spm=a21n57.1.hoverItem.4&amp;utparam=%7B%22aplus_abtest%22%3A%22c6b2bf3e1495530f6f52ebdc3eded8dc%22%7D&amp;xxc=taobaoSearch" xr:uid="{1F3CCA0B-90D3-47FE-8A99-772E1995C43D}"/>
    <hyperlink ref="D4" r:id="rId7" display="https://item.taobao.com/item.htm?abbucket=10&amp;id=679254977112&amp;mi_id=00005phhECRS2Hm0SPT4AygJTwTvnghzFqdOZHalU0ICiKQ&amp;ns=1&amp;priceTId=213e028617766856242356048e10d6&amp;skuId=4875104745168&amp;spm=a21n57.1.hoverItem.2&amp;utparam=%7B%22aplus_abtest%22%3A%223089ad7c20dbbec3625e189f75ca88cf%22%7D&amp;xxc=taobaoSearch" xr:uid="{46BED750-E1C1-4F12-BE82-EB7BB64AAC29}"/>
    <hyperlink ref="D13" r:id="rId8" display="https://detail.tmall.com/item.htm?abbucket=10&amp;id=812251844151&amp;mi_id=0000_AfzIrfzpvJKPRxRw7qLITHMlzMPlTRWOmS76AhiqwQ&amp;ns=1&amp;priceTId=213e028617766856998055236e10d6&amp;skuId=5591088640273&amp;spm=a21n57.1.hoverItem.2&amp;utparam=%7B%22aplus_abtest%22%3A%22bfba70a09197e8b2b6a7b43bc241d8b1%22%7D&amp;xxc=taobaoSearch" xr:uid="{743A2379-E081-4133-AB63-7F4477EDFF47}"/>
    <hyperlink ref="D9" r:id="rId9" display="https://detail.tmall.com/item.htm?abbucket=10&amp;id=597773741262&amp;mi_id=0000lC1H0Agxm--7vDC-BGp-RU3P8GGcAI-7ejIz0zW4kpM&amp;ns=1&amp;priceTId=2147802517772127207461071e1c29&amp;spm=a21n57.1.hoverItem.3&amp;utparam=%7B%22aplus_abtest%22%3A%222d6160d7bb320f55a3938589d2601c11%22%7D&amp;xxc=taobaoSearch&amp;skuId=5099833810424" xr:uid="{D8E62DBB-8370-4375-9F83-6324F3A41566}"/>
    <hyperlink ref="D8" r:id="rId10" display="https://item.taobao.com/item.htm?abbucket=10&amp;id=840935587861&amp;mi_id=0000uhb3sPlLswEn622cMA87MzuhQ_-zOyJIl_24LF1x8aQ&amp;ns=1&amp;skuId=5608951636016&amp;spm=a21n57.1.hoverItem.10&amp;utparam=%7B%22aplus_abtest%22%3A%22c644175107cf6f17d8ca755db99324d0%22%7D&amp;xxc=taobaoSearch" xr:uid="{85565E79-45DF-4479-B6D7-5AA7899C0710}"/>
    <hyperlink ref="D5" r:id="rId11" display="https://detail.tmall.com/item.htm?abbucket=10&amp;id=649962540067&amp;mi_id=0000KWnd8wUvMeckH6zIaiOHZq578A2qZulZarljD7NdU34&amp;ns=1&amp;priceTId=2147802517772131073586509e1c29&amp;skuId=4861419570501&amp;spm=a21n57.1.hoverItem.23&amp;utparam=%7B%22aplus_abtest%22%3A%22c035801b7d43b19bc80733f36752cfdf%22%7D&amp;xxc=taobaoSearch" xr:uid="{3F944874-4997-4425-9126-A3FEA8BB9DF9}"/>
    <hyperlink ref="D6" r:id="rId12" display="https://detail.tmall.com/item.htm?ali_refid=a3_430582_1006%3A1235000100%3AH%3AX3e4lpooeDv7BtcnmK6vdXahdFvQYGOd%3Abf03d4c48f948f93a19d740ccac0ddb8&amp;ali_trackid=282_bf03d4c48f948f93a19d740ccac0ddb8&amp;id=655689381494&amp;mi_id=0000GjyzHLgpx83H6nF0CRBPmc0qCU-oHsTBa2j21je4fEQ&amp;mm_sceneid=1_0_463550171_0&amp;priceTId=2147802517772131449291113e1c29&amp;skuId=5675242355541&amp;spm=a21n57.1.hoverItem.1&amp;utparam=%7B%22aplus_abtest%22%3A%22e0631aa2aeff078212d13176302f3e84%22%7D&amp;xxc=ad_ztc" xr:uid="{78C40133-A68A-47FD-8DEF-9B3E5AFF5A12}"/>
    <hyperlink ref="D7" r:id="rId13" display="https://detail.tmall.com/item.htm?abbucket=10&amp;id=21124132861&amp;mi_id=0000Op2RoGHW13Juv7sLNvrOwZPrxVgstgs8CUpGcz1wW8k&amp;ns=1&amp;priceTId=2147802517772132570242017e1c29&amp;skuId=4319138558996&amp;spm=a21n57.1.hoverItem.4&amp;utparam=%7B%22aplus_abtest%22%3A%225ae2f4fe2f3997218f7df6342934f13e%22%7D&amp;xxc=taobaoSearch" xr:uid="{E94F8371-3525-49DA-8DCD-F948C4F08B7D}"/>
    <hyperlink ref="D12" r:id="rId14" display="https://detail.tmall.com/item.htm?ali_refid=a3_430582_1006%3A1682415207%3AH%3AmAPJCe7ZFabGTuYQ0xBY0g%3D%3D%3A8c6325d620626d4e8444a0a80a0081c8&amp;ali_trackid=282_8c6325d620626d4e8444a0a80a0081c8&amp;id=743505157170&amp;mi_id=00002UWZbG4NS5KcgAIBMAqbHZsbTZzsGnPIMubFeb5Rgrc&amp;mm_sceneid=1_0_4716808481_0&amp;priceTId=2147802517772133304336860e1c29&amp;skuId=5126083612620&amp;spm=a21n57.1.hoverItem.1&amp;utparam=%7B%22aplus_abtest%22%3A%22831c3608be1f3b187a6776b2fe5c5241%22%7D&amp;xxc=ad_ztc" xr:uid="{820C23E0-8D2E-4D75-A5E2-79CD1A42FEBE}"/>
    <hyperlink ref="D10" r:id="rId15" display="https://item.taobao.com/item.htm?abbucket=10&amp;id=730243629516&amp;mi_id=0000Lme2Nx4amgDb7NxxEPiUbI6d0Ooyke7-gcrpMkAFXK8&amp;ns=1&amp;priceTId=2147802517772125522682252e1c29&amp;skuId=5062860261486&amp;spm=a21n57.1.hoverItem.2&amp;utparam=%7B%22aplus_abtest%22%3A%22659512e86c7fbb362822e4c0acb907e2%22%7D&amp;xxc=taobaoSearch" xr:uid="{A9C4A6D8-68F8-4739-BDD9-B4AA68721B3E}"/>
    <hyperlink ref="D11" r:id="rId16" display="https://item.taobao.com/item.htm?abbucket=10&amp;id=966486255427&amp;mi_id=00002GHBMO-aAelyt1HQEIP-F6xacVNFff-CCLeCvgSGhxk&amp;ns=1&amp;priceTId=2147802517772134892153232e1c29&amp;skuId=6079632398760&amp;spm=a21n57.1.hoverItem.2&amp;utparam=%7B%22aplus_abtest%22%3A%220502cf5fe21204587a354445bdcc160e%22%7D&amp;xxc=taobaoSearch" xr:uid="{14F9F8B7-2BFB-48BA-BC1A-5DDD5A6E75D0}"/>
  </hyperlinks>
  <pageMargins left="0.75" right="0.75" top="1" bottom="1" header="0.51180555555555596" footer="0.51180555555555596"/>
  <pageSetup paperSize="9" orientation="portrait"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130" workbookViewId="0"/>
  </sheetViews>
  <sheetFormatPr defaultColWidth="10" defaultRowHeight="13.5"/>
  <sheetData/>
  <phoneticPr fontId="8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130" workbookViewId="0"/>
  </sheetViews>
  <sheetFormatPr defaultColWidth="10" defaultRowHeight="13.5"/>
  <sheetData/>
  <phoneticPr fontId="8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不二</dc:creator>
  <cp:lastModifiedBy>dong He</cp:lastModifiedBy>
  <dcterms:created xsi:type="dcterms:W3CDTF">2024-01-09T21:26:37Z</dcterms:created>
  <dcterms:modified xsi:type="dcterms:W3CDTF">2026-04-26T14:44:11Z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9acb55dc3d3041b1b9ea411ad43e7201_23</vt:lpwstr>
  </property>
  <property fmtid="{D5CDD505-2E9C-101B-9397-08002B2CF9AE}" pid="4" name="KSOProductBuildVer">
    <vt:lpwstr>2052-12.7.0</vt:lpwstr>
  </property>
</Properties>
</file>