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10\基于STM32的多模式音乐互动旋转控制系统设计\1.案例清单\"/>
    </mc:Choice>
  </mc:AlternateContent>
  <xr:revisionPtr revIDLastSave="0" documentId="13_ncr:1_{93B834EC-D05D-47EC-9FF8-FF9C2626CA1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1" l="1"/>
  <c r="N8" i="1"/>
  <c r="N9" i="1"/>
  <c r="N6" i="1"/>
  <c r="O6" i="1"/>
  <c r="O7" i="1"/>
  <c r="O8" i="1"/>
  <c r="O9" i="1"/>
  <c r="O5" i="1"/>
  <c r="O11" i="1"/>
  <c r="N3" i="1"/>
  <c r="N4" i="1"/>
  <c r="B16" i="1" l="1"/>
</calcChain>
</file>

<file path=xl/sharedStrings.xml><?xml version="1.0" encoding="utf-8"?>
<sst xmlns="http://schemas.openxmlformats.org/spreadsheetml/2006/main" count="41" uniqueCount="35">
  <si>
    <t>型号</t>
  </si>
  <si>
    <t>链接</t>
  </si>
  <si>
    <t>单价</t>
  </si>
  <si>
    <t>数量</t>
  </si>
  <si>
    <t>单价总价</t>
  </si>
  <si>
    <t>备注</t>
  </si>
  <si>
    <t>总计</t>
  </si>
  <si>
    <t>STM32F103C8T6核心开发板</t>
  </si>
  <si>
    <t>0.96寸白色OLED模块</t>
  </si>
  <si>
    <t>PCB打板</t>
  </si>
  <si>
    <t>嘉立创PCB打板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</si>
  <si>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</si>
  <si>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</si>
  <si>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排母</t>
  </si>
  <si>
    <t>LED灯</t>
  </si>
  <si>
    <t>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</t>
  </si>
  <si>
    <t>LED</t>
  </si>
  <si>
    <t>限流电阻</t>
  </si>
  <si>
    <t>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</t>
  </si>
  <si>
    <t>https://detail.tmall.com/item.htm?ali_refid=a3_430582_1006%3A1303560141%3AH%3ABt664A9f4LgL69LZxL%2Biz4rxguGcfBp1rxow4qUDZaA%3D%3Ab7566a3b8d73efcc31c4622fb674b825&amp;ali_trackid=318_b7566a3b8d73efcc31c4622fb674b825&amp;id=676843581731&amp;mi_id=0000XR0h2BLXAHwL7-eAM5la7JZDwb6y7EX6H4iLSTAoz3k&amp;mm_sceneid=0_0_727720075_0&amp;priceTId=214781bc17758139358803732e1040&amp;skuId=5064710945904&amp;spm=a21n57.1.hoverItem.1&amp;utparam=%7B%22aplus_abtest%22%3A%2262117619f600c65d5cc81605392925ab%22%7D&amp;xxc=ad_ztc</t>
  </si>
  <si>
    <t>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</t>
  </si>
  <si>
    <t>蜂鸣器</t>
  </si>
  <si>
    <t>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</t>
  </si>
  <si>
    <t>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</t>
  </si>
  <si>
    <t>声音传感器</t>
  </si>
  <si>
    <t>直流电机</t>
  </si>
  <si>
    <t>电机驱动模块</t>
  </si>
  <si>
    <t>蓝牙模块</t>
  </si>
  <si>
    <t>https://detail.tmall.com/item.htm?abbucket=10&amp;id=954520649167&amp;mi_id=000020nTOnReSLijSRe5xI19RCwmhzJqAc7mFLaq8SMJ6yU&amp;ns=1&amp;priceTId=2150469817763444642325054e10e9&amp;skuId=5875524060904&amp;spm=a21n57.1.hoverItem.10&amp;utparam=%7B%22aplus_abtest%22%3A%22c001b95d656ce29449bf0bfc6aacad03%22%7D&amp;xxc=taobaoSearch</t>
  </si>
  <si>
    <t>https://item.taobao.com/item.htm?abbucket=10&amp;id=651806406945&amp;mi_id=0000dWyfVEgHrjoWz5NHkQoSwVuTbk3SBC6Om_hmSpCXnwI&amp;ns=1&amp;priceTId=2150455817763456530316297e1253&amp;skuId=4875243075023&amp;spm=a21n57.1.hoverItem.8&amp;utparam=%7B%22aplus_abtest%22%3A%2283098b74bc61ff11a6150028bcc85338%22%7D&amp;xxc=taobaoSearch</t>
  </si>
  <si>
    <t>https://detail.tmall.com/item.htm?abbucket=10&amp;id=539749232497&amp;mi_id=0000AqcZjJ7-Z4z19DJ7jAGyP7CHQ5pnYJJdgjXQN4HTmQc&amp;ns=1&amp;priceTId=2150455817763457762638995e1253&amp;skuId=5358360118676&amp;spm=a21n57.1.hoverItem.3&amp;utparam=%7B%22aplus_abtest%22%3A%225787d8f268df2d9bee0bc325c7f6e1ff%22%7D&amp;xxc=taobaoSearch</t>
  </si>
  <si>
    <t>https://item.taobao.com/item.htm?abbucket=10&amp;id=551774581025&amp;mi_id=00009DL8BafgblgPzNQczvOVB7jvo3CdCtoBhZ4NIdkkGfc&amp;ns=1&amp;priceTId=2147845317763460772393786e1074&amp;skuId=4518090100571&amp;spm=a21n57.1.hoverItem.4&amp;utparam=%7B%22aplus_abtest%22%3A%22483d483c26a6d8b0f618ec85d51272e5%22%7D&amp;xxc=taobaoSearch</t>
  </si>
  <si>
    <t>基于STM32的多模式音乐互动旋转控制系统设计采购清单</t>
  </si>
  <si>
    <t>锡丝</t>
  </si>
  <si>
    <t>https://s.taobao.com/search?clientPreloadId=preload_1776346417906&amp;commend=all&amp;ie=utf8&amp;initiative_id=tbindexz_20170306&amp;page=1&amp;preLoadOrigin=https%3A%2F%2Fwww.taobao.com&amp;q=%E9%94%A1%E4%B8%9D&amp;search_type=item&amp;sourceId=tb.index&amp;spm=a21bo.jianhua%2Fa.search_manual.0&amp;ssid=s5-e&amp;tab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</si>
</sst>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1" xfId="1" applyFill="1" applyBorder="1">
      <alignment vertical="center"/>
    </xf>
    <xf numFmtId="0" fontId="0" fillId="0" borderId="1" xfId="0" applyFill="1" applyBorder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id=539749232497&amp;mi_id=0000AqcZjJ7-Z4z19DJ7jAGyP7CHQ5pnYJJdgjXQN4HTmQc&amp;ns=1&amp;priceTId=2150455817763457762638995e1253&amp;skuId=5358360118676&amp;spm=a21n57.1.hoverItem.3&amp;utparam=%7B%22aplus_abtest%22%3A%225787d8f268df2d9bee0bc325c7f6e1ff%22%7D&amp;xxc=taobaoSearch" TargetMode="External"/><Relationship Id="rId3" Type="http://schemas.openxmlformats.org/officeDocument/2006/relationships/hyperlink" Target="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" TargetMode="External"/><Relationship Id="rId7" Type="http://schemas.openxmlformats.org/officeDocument/2006/relationships/hyperlink" Target="https://item.taobao.com/item.htm?abbucket=10&amp;id=651806406945&amp;mi_id=0000dWyfVEgHrjoWz5NHkQoSwVuTbk3SBC6Om_hmSpCXnwI&amp;ns=1&amp;priceTId=2150455817763456530316297e1253&amp;skuId=4875243075023&amp;spm=a21n57.1.hoverItem.8&amp;utparam=%7B%22aplus_abtest%22%3A%2283098b74bc61ff11a6150028bcc85338%22%7D&amp;xxc=taobaoSearch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TargetMode="External"/><Relationship Id="rId1" Type="http://schemas.openxmlformats.org/officeDocument/2006/relationships/hyperlink" Target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TargetMode="External"/><Relationship Id="rId6" Type="http://schemas.openxmlformats.org/officeDocument/2006/relationships/hyperlink" Target="https://detail.tmall.com/item.htm?abbucket=10&amp;id=954520649167&amp;mi_id=000020nTOnReSLijSRe5xI19RCwmhzJqAc7mFLaq8SMJ6yU&amp;ns=1&amp;priceTId=2150469817763444642325054e10e9&amp;skuId=5875524060904&amp;spm=a21n57.1.hoverItem.10&amp;utparam=%7B%22aplus_abtest%22%3A%22c001b95d656ce29449bf0bfc6aacad03%22%7D&amp;xxc=taobaoSearch" TargetMode="External"/><Relationship Id="rId11" Type="http://schemas.openxmlformats.org/officeDocument/2006/relationships/hyperlink" Target="https://s.taobao.com/search?clientPreloadId=preload_1776346417906&amp;commend=all&amp;ie=utf8&amp;initiative_id=tbindexz_20170306&amp;page=1&amp;preLoadOrigin=https%3A%2F%2Fwww.taobao.com&amp;q=%E9%94%A1%E4%B8%9D&amp;search_type=item&amp;sourceId=tb.index&amp;spm=a21bo.jianhua%2Fa.search_manual.0&amp;ssid=s5-e&amp;tab=all" TargetMode="External"/><Relationship Id="rId5" Type="http://schemas.openxmlformats.org/officeDocument/2006/relationships/hyperlink" Target="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" TargetMode="External"/><Relationship Id="rId10" Type="http://schemas.openxmlformats.org/officeDocument/2006/relationships/hyperlink" Target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TargetMode="External"/><Relationship Id="rId4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9" Type="http://schemas.openxmlformats.org/officeDocument/2006/relationships/hyperlink" Target="https://item.taobao.com/item.htm?abbucket=10&amp;id=551774581025&amp;mi_id=00009DL8BafgblgPzNQczvOVB7jvo3CdCtoBhZ4NIdkkGfc&amp;ns=1&amp;priceTId=2147845317763460772393786e1074&amp;skuId=4518090100571&amp;spm=a21n57.1.hoverItem.4&amp;utparam=%7B%22aplus_abtest%22%3A%22483d483c26a6d8b0f618ec85d51272e5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zoomScale="130" zoomScaleNormal="130" workbookViewId="0">
      <selection activeCell="E16" sqref="E16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4" t="s">
        <v>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7" ht="27.75" customHeight="1">
      <c r="A2" s="16" t="s">
        <v>0</v>
      </c>
      <c r="B2" s="16"/>
      <c r="C2" s="16"/>
      <c r="D2" s="16" t="s">
        <v>1</v>
      </c>
      <c r="E2" s="16"/>
      <c r="F2" s="16"/>
      <c r="G2" s="16"/>
      <c r="H2" s="16"/>
      <c r="I2" s="16"/>
      <c r="J2" s="16"/>
      <c r="K2" s="16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7" t="s">
        <v>7</v>
      </c>
      <c r="B3" s="17"/>
      <c r="C3" s="17"/>
      <c r="D3" s="18" t="s">
        <v>19</v>
      </c>
      <c r="E3" s="18"/>
      <c r="F3" s="18"/>
      <c r="G3" s="18"/>
      <c r="H3" s="18"/>
      <c r="I3" s="18"/>
      <c r="J3" s="18"/>
      <c r="K3" s="18"/>
      <c r="L3" s="4">
        <v>13.95</v>
      </c>
      <c r="M3" s="4">
        <v>1</v>
      </c>
      <c r="N3" s="4">
        <f t="shared" ref="N3:N4" si="0">L3</f>
        <v>13.95</v>
      </c>
      <c r="O3" s="6" t="s">
        <v>7</v>
      </c>
    </row>
    <row r="4" spans="1:17" ht="23.25" customHeight="1">
      <c r="A4" s="17" t="s">
        <v>8</v>
      </c>
      <c r="B4" s="17"/>
      <c r="C4" s="17"/>
      <c r="D4" s="11" t="s">
        <v>20</v>
      </c>
      <c r="E4" s="12"/>
      <c r="F4" s="12"/>
      <c r="G4" s="12"/>
      <c r="H4" s="12"/>
      <c r="I4" s="12"/>
      <c r="J4" s="12"/>
      <c r="K4" s="12"/>
      <c r="L4" s="4">
        <v>13.39</v>
      </c>
      <c r="M4" s="3">
        <v>1</v>
      </c>
      <c r="N4" s="4">
        <f t="shared" si="0"/>
        <v>13.39</v>
      </c>
      <c r="O4" s="4" t="s">
        <v>8</v>
      </c>
    </row>
    <row r="5" spans="1:17" ht="24.75" customHeight="1">
      <c r="A5" s="10" t="s">
        <v>21</v>
      </c>
      <c r="B5" s="10"/>
      <c r="C5" s="10"/>
      <c r="D5" s="8" t="s">
        <v>22</v>
      </c>
      <c r="E5" s="9"/>
      <c r="F5" s="9"/>
      <c r="G5" s="9"/>
      <c r="H5" s="9"/>
      <c r="I5" s="9"/>
      <c r="J5" s="9"/>
      <c r="K5" s="9"/>
      <c r="L5" s="4">
        <v>2.9</v>
      </c>
      <c r="M5" s="4">
        <v>1</v>
      </c>
      <c r="N5" s="4">
        <v>2.9</v>
      </c>
      <c r="O5" s="4" t="str">
        <f t="shared" ref="O5:O9" si="1">A5</f>
        <v>蜂鸣器</v>
      </c>
    </row>
    <row r="6" spans="1:17" ht="24.75" customHeight="1">
      <c r="A6" s="10" t="s">
        <v>24</v>
      </c>
      <c r="B6" s="10"/>
      <c r="C6" s="10"/>
      <c r="D6" s="8" t="s">
        <v>28</v>
      </c>
      <c r="E6" s="9"/>
      <c r="F6" s="9"/>
      <c r="G6" s="9"/>
      <c r="H6" s="9"/>
      <c r="I6" s="9"/>
      <c r="J6" s="9"/>
      <c r="K6" s="9"/>
      <c r="L6" s="4">
        <v>17.600000000000001</v>
      </c>
      <c r="M6" s="4">
        <v>1</v>
      </c>
      <c r="N6" s="4">
        <f>L6</f>
        <v>17.600000000000001</v>
      </c>
      <c r="O6" s="4" t="str">
        <f t="shared" ref="O6" si="2">A6</f>
        <v>声音传感器</v>
      </c>
    </row>
    <row r="7" spans="1:17" ht="24.75" customHeight="1">
      <c r="A7" s="10" t="s">
        <v>25</v>
      </c>
      <c r="B7" s="10"/>
      <c r="C7" s="10"/>
      <c r="D7" s="8" t="s">
        <v>29</v>
      </c>
      <c r="E7" s="9"/>
      <c r="F7" s="9"/>
      <c r="G7" s="9"/>
      <c r="H7" s="9"/>
      <c r="I7" s="9"/>
      <c r="J7" s="9"/>
      <c r="K7" s="9"/>
      <c r="L7" s="4">
        <v>12.65</v>
      </c>
      <c r="M7" s="4">
        <v>1</v>
      </c>
      <c r="N7" s="4">
        <f t="shared" ref="N7:N9" si="3">L7</f>
        <v>12.65</v>
      </c>
      <c r="O7" s="4" t="str">
        <f t="shared" si="1"/>
        <v>直流电机</v>
      </c>
    </row>
    <row r="8" spans="1:17" ht="24.75" customHeight="1">
      <c r="A8" s="10" t="s">
        <v>26</v>
      </c>
      <c r="B8" s="10"/>
      <c r="C8" s="10"/>
      <c r="D8" s="8" t="s">
        <v>30</v>
      </c>
      <c r="E8" s="9"/>
      <c r="F8" s="9"/>
      <c r="G8" s="9"/>
      <c r="H8" s="9"/>
      <c r="I8" s="9"/>
      <c r="J8" s="9"/>
      <c r="K8" s="9"/>
      <c r="L8" s="4">
        <v>12.12</v>
      </c>
      <c r="M8" s="4">
        <v>1</v>
      </c>
      <c r="N8" s="4">
        <f t="shared" si="3"/>
        <v>12.12</v>
      </c>
      <c r="O8" s="4" t="str">
        <f t="shared" ref="O8" si="4">A8</f>
        <v>电机驱动模块</v>
      </c>
    </row>
    <row r="9" spans="1:17" ht="24.75" customHeight="1">
      <c r="A9" s="10" t="s">
        <v>27</v>
      </c>
      <c r="B9" s="10"/>
      <c r="C9" s="10"/>
      <c r="D9" s="8" t="s">
        <v>31</v>
      </c>
      <c r="E9" s="9"/>
      <c r="F9" s="9"/>
      <c r="G9" s="9"/>
      <c r="H9" s="9"/>
      <c r="I9" s="9"/>
      <c r="J9" s="9"/>
      <c r="K9" s="9"/>
      <c r="L9" s="4">
        <v>24.98</v>
      </c>
      <c r="M9" s="4">
        <v>1</v>
      </c>
      <c r="N9" s="4">
        <f t="shared" si="3"/>
        <v>24.98</v>
      </c>
      <c r="O9" s="4" t="str">
        <f t="shared" si="1"/>
        <v>蓝牙模块</v>
      </c>
    </row>
    <row r="10" spans="1:17" ht="24.75" customHeight="1">
      <c r="A10" s="10" t="s">
        <v>14</v>
      </c>
      <c r="B10" s="10"/>
      <c r="C10" s="10"/>
      <c r="D10" s="11" t="s">
        <v>15</v>
      </c>
      <c r="E10" s="12"/>
      <c r="F10" s="12"/>
      <c r="G10" s="12"/>
      <c r="H10" s="12"/>
      <c r="I10" s="12"/>
      <c r="J10" s="12"/>
      <c r="K10" s="12"/>
      <c r="L10" s="4">
        <v>3.52</v>
      </c>
      <c r="M10" s="4">
        <v>1</v>
      </c>
      <c r="N10" s="4">
        <v>3.52</v>
      </c>
      <c r="O10" s="4" t="s">
        <v>16</v>
      </c>
      <c r="P10" s="4"/>
      <c r="Q10" s="4"/>
    </row>
    <row r="11" spans="1:17" ht="24.75" customHeight="1">
      <c r="A11" s="10" t="s">
        <v>13</v>
      </c>
      <c r="B11" s="10"/>
      <c r="C11" s="10"/>
      <c r="D11" s="8" t="s">
        <v>23</v>
      </c>
      <c r="E11" s="9"/>
      <c r="F11" s="9"/>
      <c r="G11" s="9"/>
      <c r="H11" s="9"/>
      <c r="I11" s="9"/>
      <c r="J11" s="9"/>
      <c r="K11" s="9"/>
      <c r="L11" s="4">
        <v>4.9000000000000004</v>
      </c>
      <c r="M11" s="4">
        <v>1</v>
      </c>
      <c r="N11" s="4">
        <v>4.9000000000000004</v>
      </c>
      <c r="O11" s="4" t="str">
        <f t="shared" ref="O11" si="5">A11</f>
        <v>排母</v>
      </c>
    </row>
    <row r="12" spans="1:17" ht="24.75" customHeight="1">
      <c r="A12" s="10" t="s">
        <v>33</v>
      </c>
      <c r="B12" s="10"/>
      <c r="C12" s="10"/>
      <c r="D12" s="11" t="s">
        <v>34</v>
      </c>
      <c r="E12" s="12"/>
      <c r="F12" s="12"/>
      <c r="G12" s="12"/>
      <c r="H12" s="12"/>
      <c r="I12" s="12"/>
      <c r="J12" s="12"/>
      <c r="K12" s="12"/>
      <c r="L12" s="4">
        <v>12.9</v>
      </c>
      <c r="M12" s="4">
        <v>1</v>
      </c>
      <c r="N12" s="4">
        <v>12.9</v>
      </c>
      <c r="O12" s="4" t="s">
        <v>16</v>
      </c>
      <c r="P12" s="4"/>
      <c r="Q12" s="4"/>
    </row>
    <row r="13" spans="1:17" ht="24.75" customHeight="1">
      <c r="A13" s="10" t="s">
        <v>17</v>
      </c>
      <c r="B13" s="10"/>
      <c r="C13" s="10"/>
      <c r="D13" s="11" t="s">
        <v>18</v>
      </c>
      <c r="E13" s="12"/>
      <c r="F13" s="12"/>
      <c r="G13" s="12"/>
      <c r="H13" s="12"/>
      <c r="I13" s="12"/>
      <c r="J13" s="12"/>
      <c r="K13" s="12"/>
      <c r="L13" s="4">
        <v>1.35</v>
      </c>
      <c r="M13" s="4">
        <v>1</v>
      </c>
      <c r="N13" s="4">
        <v>1.35</v>
      </c>
      <c r="O13" s="4" t="s">
        <v>17</v>
      </c>
      <c r="P13" s="4"/>
      <c r="Q13" s="4"/>
    </row>
    <row r="14" spans="1:17" ht="23.45" customHeight="1">
      <c r="A14" s="10" t="s">
        <v>11</v>
      </c>
      <c r="B14" s="10"/>
      <c r="C14" s="10"/>
      <c r="D14" s="11" t="s">
        <v>12</v>
      </c>
      <c r="E14" s="12"/>
      <c r="F14" s="12"/>
      <c r="G14" s="12"/>
      <c r="H14" s="12"/>
      <c r="I14" s="12"/>
      <c r="J14" s="12"/>
      <c r="K14" s="12"/>
      <c r="L14" s="4">
        <v>3.8</v>
      </c>
      <c r="M14" s="4">
        <v>1</v>
      </c>
      <c r="N14" s="4">
        <v>3.8</v>
      </c>
      <c r="O14" s="4" t="s">
        <v>11</v>
      </c>
    </row>
    <row r="15" spans="1:17" ht="24.75" customHeight="1">
      <c r="A15" s="10" t="s">
        <v>9</v>
      </c>
      <c r="B15" s="10"/>
      <c r="C15" s="10"/>
      <c r="D15" s="11" t="s">
        <v>10</v>
      </c>
      <c r="E15" s="12"/>
      <c r="F15" s="12"/>
      <c r="G15" s="12"/>
      <c r="H15" s="12"/>
      <c r="I15" s="12"/>
      <c r="J15" s="12"/>
      <c r="K15" s="12"/>
      <c r="L15" s="4">
        <v>20</v>
      </c>
      <c r="M15" s="4">
        <v>1</v>
      </c>
      <c r="N15" s="4">
        <v>20</v>
      </c>
      <c r="O15" s="4" t="s">
        <v>9</v>
      </c>
    </row>
    <row r="16" spans="1:17" ht="23.25" customHeight="1">
      <c r="A16" s="7" t="s">
        <v>6</v>
      </c>
      <c r="B16" s="13">
        <f>SUM(N3:N15)</f>
        <v>144.06</v>
      </c>
      <c r="C16" s="1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9" spans="8:8" ht="14.1" customHeight="1">
      <c r="H19" s="5"/>
    </row>
  </sheetData>
  <mergeCells count="30">
    <mergeCell ref="A4:C4"/>
    <mergeCell ref="D4:K4"/>
    <mergeCell ref="A9:C9"/>
    <mergeCell ref="D9:K9"/>
    <mergeCell ref="A1:O1"/>
    <mergeCell ref="D2:K2"/>
    <mergeCell ref="A2:C2"/>
    <mergeCell ref="A3:C3"/>
    <mergeCell ref="D3:K3"/>
    <mergeCell ref="A12:C12"/>
    <mergeCell ref="D12:K12"/>
    <mergeCell ref="A13:C13"/>
    <mergeCell ref="A11:C11"/>
    <mergeCell ref="D11:K11"/>
    <mergeCell ref="D13:K13"/>
    <mergeCell ref="A14:C14"/>
    <mergeCell ref="B16:C16"/>
    <mergeCell ref="A15:C15"/>
    <mergeCell ref="D15:K15"/>
    <mergeCell ref="D14:K14"/>
    <mergeCell ref="D10:K10"/>
    <mergeCell ref="A5:C5"/>
    <mergeCell ref="D5:K5"/>
    <mergeCell ref="A8:C8"/>
    <mergeCell ref="D8:K8"/>
    <mergeCell ref="A7:C7"/>
    <mergeCell ref="D7:K7"/>
    <mergeCell ref="A6:C6"/>
    <mergeCell ref="D6:K6"/>
    <mergeCell ref="A10:C10"/>
  </mergeCells>
  <phoneticPr fontId="8" type="noConversion"/>
  <hyperlinks>
    <hyperlink ref="D13" r:id="rId1" display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xr:uid="{73E17930-AFD1-4129-BE72-118E449F51F7}"/>
    <hyperlink ref="D4" r:id="rId2" display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xr:uid="{D05E352A-32E0-454B-8E45-6492463C5C92}"/>
    <hyperlink ref="D11" r:id="rId3" display="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" xr:uid="{EB6043E5-4B32-4D6C-BC9E-20890599B6BD}"/>
    <hyperlink ref="D14" r:id="rId4" xr:uid="{802C48E3-88AC-44C6-A929-1907B01DE4F5}"/>
    <hyperlink ref="D5" r:id="rId5" display="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" xr:uid="{750D9649-F10F-4A09-B5C5-E3C65A69C083}"/>
    <hyperlink ref="D6" r:id="rId6" display="https://detail.tmall.com/item.htm?abbucket=10&amp;id=954520649167&amp;mi_id=000020nTOnReSLijSRe5xI19RCwmhzJqAc7mFLaq8SMJ6yU&amp;ns=1&amp;priceTId=2150469817763444642325054e10e9&amp;skuId=5875524060904&amp;spm=a21n57.1.hoverItem.10&amp;utparam=%7B%22aplus_abtest%22%3A%22c001b95d656ce29449bf0bfc6aacad03%22%7D&amp;xxc=taobaoSearch" xr:uid="{24655275-A2A3-4145-995A-223354579814}"/>
    <hyperlink ref="D7" r:id="rId7" display="https://item.taobao.com/item.htm?abbucket=10&amp;id=651806406945&amp;mi_id=0000dWyfVEgHrjoWz5NHkQoSwVuTbk3SBC6Om_hmSpCXnwI&amp;ns=1&amp;priceTId=2150455817763456530316297e1253&amp;skuId=4875243075023&amp;spm=a21n57.1.hoverItem.8&amp;utparam=%7B%22aplus_abtest%22%3A%2283098b74bc61ff11a6150028bcc85338%22%7D&amp;xxc=taobaoSearch" xr:uid="{EE2FB724-138B-443B-BF6E-9A9AFF6618C6}"/>
    <hyperlink ref="D8" r:id="rId8" display="https://detail.tmall.com/item.htm?abbucket=10&amp;id=539749232497&amp;mi_id=0000AqcZjJ7-Z4z19DJ7jAGyP7CHQ5pnYJJdgjXQN4HTmQc&amp;ns=1&amp;priceTId=2150455817763457762638995e1253&amp;skuId=5358360118676&amp;spm=a21n57.1.hoverItem.3&amp;utparam=%7B%22aplus_abtest%22%3A%225787d8f268df2d9bee0bc325c7f6e1ff%22%7D&amp;xxc=taobaoSearch" xr:uid="{EC36CFEF-D1D9-45D8-9631-CBBCCDEEE109}"/>
    <hyperlink ref="D9" r:id="rId9" display="https://item.taobao.com/item.htm?abbucket=10&amp;id=551774581025&amp;mi_id=00009DL8BafgblgPzNQczvOVB7jvo3CdCtoBhZ4NIdkkGfc&amp;ns=1&amp;priceTId=2147845317763460772393786e1074&amp;skuId=4518090100571&amp;spm=a21n57.1.hoverItem.4&amp;utparam=%7B%22aplus_abtest%22%3A%22483d483c26a6d8b0f618ec85d51272e5%22%7D&amp;xxc=taobaoSearch" xr:uid="{E82EEE5F-B4E8-49CE-AEEF-006FE281691F}"/>
    <hyperlink ref="D10" r:id="rId10" display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xr:uid="{828CEB29-F1B8-4CC5-A8A4-CFFB6CE9DC9F}"/>
    <hyperlink ref="D12" r:id="rId11" display="https://s.taobao.com/search?clientPreloadId=preload_1776346417906&amp;commend=all&amp;ie=utf8&amp;initiative_id=tbindexz_20170306&amp;page=1&amp;preLoadOrigin=https%3A%2F%2Fwww.taobao.com&amp;q=%E9%94%A1%E4%B8%9D&amp;search_type=item&amp;sourceId=tb.index&amp;spm=a21bo.jianhua%2Fa.search_manual.0&amp;ssid=s5-e&amp;tab=all" xr:uid="{C2008A7B-5528-4196-94D5-2BA6C2D3D556}"/>
  </hyperlinks>
  <pageMargins left="0.75" right="0.75" top="1" bottom="1" header="0.51180555555555596" footer="0.51180555555555596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2026-04-16T13:33:59Z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